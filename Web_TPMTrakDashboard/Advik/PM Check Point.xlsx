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CNC " sheetId="1" r:id="rId1"/>
    <sheet name="VMC Brother" sheetId="2" r:id="rId2"/>
    <sheet name="T sugami" sheetId="3" r:id="rId3"/>
    <sheet name="VMC Hundai" sheetId="4" r:id="rId4"/>
    <sheet name="Grinding" sheetId="5" r:id="rId5"/>
    <sheet name="Sujigo SPM " sheetId="6" r:id="rId6"/>
    <sheet name="Sheet1" sheetId="7" r:id="rId7"/>
  </sheets>
  <calcPr calcId="152511"/>
</workbook>
</file>

<file path=xl/calcChain.xml><?xml version="1.0" encoding="utf-8"?>
<calcChain xmlns="http://schemas.openxmlformats.org/spreadsheetml/2006/main">
  <c r="H6" i="7" l="1"/>
  <c r="H7" i="7"/>
  <c r="H8" i="7"/>
  <c r="H9" i="7"/>
  <c r="H10" i="7"/>
  <c r="H5" i="7"/>
  <c r="G6" i="7"/>
  <c r="G7" i="7"/>
  <c r="G8" i="7"/>
  <c r="G9" i="7"/>
  <c r="G10" i="7"/>
  <c r="G5" i="7"/>
  <c r="F6" i="7"/>
  <c r="F7" i="7"/>
  <c r="F8" i="7"/>
  <c r="F9" i="7"/>
  <c r="F10" i="7"/>
  <c r="F5" i="7"/>
  <c r="E6" i="7"/>
  <c r="E7" i="7"/>
  <c r="E8" i="7"/>
  <c r="E9" i="7"/>
  <c r="E10" i="7"/>
  <c r="E5" i="7"/>
  <c r="D6" i="7"/>
  <c r="D7" i="7"/>
  <c r="D8" i="7"/>
  <c r="D9" i="7"/>
  <c r="D10" i="7"/>
  <c r="D5" i="7"/>
</calcChain>
</file>

<file path=xl/sharedStrings.xml><?xml version="1.0" encoding="utf-8"?>
<sst xmlns="http://schemas.openxmlformats.org/spreadsheetml/2006/main" count="148" uniqueCount="79">
  <si>
    <t xml:space="preserve">CNC Machine PM Check Point </t>
  </si>
  <si>
    <t>Sr. No.</t>
  </si>
  <si>
    <t>No of Cycle's</t>
  </si>
  <si>
    <t>Have the checked X axis Backlash</t>
  </si>
  <si>
    <t>Have the checked Z axis Backlash</t>
  </si>
  <si>
    <t>Have the checked Spindle runout</t>
  </si>
  <si>
    <t>Check &amp; Clean the filter of Coolant Tank</t>
  </si>
  <si>
    <t>Have the cleaned spindle motor fan</t>
  </si>
  <si>
    <t>Check &amp; Clean the Radiator Fan of Hyd Tank</t>
  </si>
  <si>
    <t>Check &amp; Clean the filter of Hyd Tank</t>
  </si>
  <si>
    <t xml:space="preserve">Have the checked the spindle belt condition </t>
  </si>
  <si>
    <t>Have the checked clamping force</t>
  </si>
  <si>
    <t>Have the checked X axis repeatability</t>
  </si>
  <si>
    <t>Have the checked Z axis repeatability</t>
  </si>
  <si>
    <t>Have the checked Tailstock alignment</t>
  </si>
  <si>
    <t>Description</t>
  </si>
  <si>
    <t>Check the hydraulic pressure as per requirement</t>
  </si>
  <si>
    <t>Check the chuck pressure it is as per desired set level</t>
  </si>
  <si>
    <t>Check the Slide lubrication as per requirement</t>
  </si>
  <si>
    <t>Have the checked turret alignment</t>
  </si>
  <si>
    <t>Have the checked Y axis repeatability</t>
  </si>
  <si>
    <t>Have the checked Y axis Backlash</t>
  </si>
  <si>
    <t>Have the checked 4 th axis Backlash</t>
  </si>
  <si>
    <t>Check &amp; Clean the Bur of  coolant Tank</t>
  </si>
  <si>
    <t>Have the checked 4th axis repeatability</t>
  </si>
  <si>
    <t>Check &amp; Clean the tool holder gripper springs &amp; balls</t>
  </si>
  <si>
    <t>Have the checked spindle taper cleaning air on</t>
  </si>
  <si>
    <t xml:space="preserve">Have the checked sheet check  air pressure as per disired operating level </t>
  </si>
  <si>
    <t>Have the tool break sensor is in working condition</t>
  </si>
  <si>
    <t xml:space="preserve">T Sugami Machine PM Check Point </t>
  </si>
  <si>
    <t>Have the chuck and Jaw taken out off the machine and Cleaned</t>
  </si>
  <si>
    <t>Have the checked X1 axis repeatability</t>
  </si>
  <si>
    <t>Have the checked X1 axis Backlash</t>
  </si>
  <si>
    <t>Have the checked Y1 repeatability</t>
  </si>
  <si>
    <t>Have the checked Y1 axis Backlash</t>
  </si>
  <si>
    <t>Have the checked Z1 axis repeatability</t>
  </si>
  <si>
    <t>Have the checked Z1 axis Backlash</t>
  </si>
  <si>
    <t>Have the checked X2 axis repeatability</t>
  </si>
  <si>
    <t>Have the checked X2 axis Backlash</t>
  </si>
  <si>
    <t>Have the checked Y2 repeatability</t>
  </si>
  <si>
    <t>Have the checked Y2 axis Backlash</t>
  </si>
  <si>
    <t>Have the checked Z2 axis repeatability</t>
  </si>
  <si>
    <t>Have the checked Z2 axis Backlash</t>
  </si>
  <si>
    <t xml:space="preserve">Check the Bar feeder Alignment </t>
  </si>
  <si>
    <t>Check the Bar feeder Liner condition</t>
  </si>
  <si>
    <t>Have the checked front Spindle runout</t>
  </si>
  <si>
    <t>Have the checked back Spindle runout</t>
  </si>
  <si>
    <t>Check the Bar feeder oil tank Oil level</t>
  </si>
  <si>
    <t xml:space="preserve">VMC Hundai Machine PM Check Point </t>
  </si>
  <si>
    <t xml:space="preserve">VMC Brother Machine PM Check Point </t>
  </si>
  <si>
    <t>Have the checked Q axis repeatability</t>
  </si>
  <si>
    <t>Have the checked Q axis Backlash</t>
  </si>
  <si>
    <t xml:space="preserve">Grinding Machine PM Check Point </t>
  </si>
  <si>
    <t>Have the dresor block taken out off the machine and Cleaned</t>
  </si>
  <si>
    <t xml:space="preserve">Have the checked the work spindle wheel belt condition </t>
  </si>
  <si>
    <t xml:space="preserve">Have the checked the control spindle wheel belt condition </t>
  </si>
  <si>
    <t xml:space="preserve">Sujigo SPM Machine PM Check Point </t>
  </si>
  <si>
    <t>Have the checked RH Spindle runout</t>
  </si>
  <si>
    <t>Have the checked LH Spindle runout</t>
  </si>
  <si>
    <t xml:space="preserve">Have the checked the RH spindle belt condition </t>
  </si>
  <si>
    <t xml:space="preserve">Have the checked the LH spindle belt condition </t>
  </si>
  <si>
    <t xml:space="preserve">Have the checked vertcal axis Alignment </t>
  </si>
  <si>
    <t>Check the clamping pressure it is as per desired set level</t>
  </si>
  <si>
    <t>Check the Hyd pressure it is as per desired set level</t>
  </si>
  <si>
    <t>Have the checked Top Head alignment</t>
  </si>
  <si>
    <t>VMC B</t>
  </si>
  <si>
    <t>VMC H</t>
  </si>
  <si>
    <t>CNC</t>
  </si>
  <si>
    <t>GRIND</t>
  </si>
  <si>
    <t>T SUGAMI</t>
  </si>
  <si>
    <t>SUJIGO</t>
  </si>
  <si>
    <t>Sec</t>
  </si>
  <si>
    <t>Min</t>
  </si>
  <si>
    <t>Hrs</t>
  </si>
  <si>
    <t>Day</t>
  </si>
  <si>
    <t>Month</t>
  </si>
  <si>
    <t>Machines Cycle Times</t>
  </si>
  <si>
    <t>Machines</t>
  </si>
  <si>
    <t>3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</si>
</sst>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6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C22"/>
  <sheetViews>
    <sheetView tabSelected="1" topLeftCell="A3" workbookViewId="0">
      <selection activeCell="H16" sqref="H16"/>
    </sheetView>
  </sheetViews>
  <sheetFormatPr defaultRowHeight="15" x14ac:dyDescent="0.25"/>
  <cols>
    <col min="2" max="2" width="57.5703125" customWidth="1"/>
    <col min="3" max="3" width="12.7109375" customWidth="1"/>
  </cols>
  <sheetData>
    <row r="4" spans="1:3" x14ac:dyDescent="0.25">
      <c r="A4" t="s">
        <v>0</v>
      </c>
    </row>
    <row r="6" spans="1:3" ht="32.25" customHeight="1" x14ac:dyDescent="0.25">
      <c r="A6" s="2" t="s">
        <v>1</v>
      </c>
      <c r="B6" s="2" t="s">
        <v>15</v>
      </c>
      <c r="C6" s="3" t="s">
        <v>2</v>
      </c>
    </row>
    <row r="7" spans="1:3" x14ac:dyDescent="0.25">
      <c r="A7" s="1">
        <v>1</v>
      </c>
      <c r="B7" t="s">
        <v>16</v>
      </c>
      <c r="C7" s="1">
        <v>150000</v>
      </c>
    </row>
    <row r="8" spans="1:3" x14ac:dyDescent="0.25">
      <c r="A8" s="1">
        <v>2</v>
      </c>
      <c r="B8" t="s">
        <v>17</v>
      </c>
      <c r="C8" s="1">
        <v>150000</v>
      </c>
    </row>
    <row r="9" spans="1:3" x14ac:dyDescent="0.25">
      <c r="A9" s="1">
        <v>3</v>
      </c>
      <c r="B9" t="s">
        <v>18</v>
      </c>
      <c r="C9" s="1">
        <v>250000</v>
      </c>
    </row>
    <row r="10" spans="1:3" x14ac:dyDescent="0.25">
      <c r="A10" s="1">
        <v>4</v>
      </c>
      <c r="B10" t="s">
        <v>30</v>
      </c>
      <c r="C10" s="1">
        <v>250000</v>
      </c>
    </row>
    <row r="11" spans="1:3" x14ac:dyDescent="0.25">
      <c r="A11" s="1">
        <v>5</v>
      </c>
      <c r="B11" t="s">
        <v>19</v>
      </c>
      <c r="C11" s="1">
        <v>250000</v>
      </c>
    </row>
    <row r="12" spans="1:3" x14ac:dyDescent="0.25">
      <c r="A12" s="1">
        <v>6</v>
      </c>
      <c r="B12" t="s">
        <v>12</v>
      </c>
      <c r="C12" s="1">
        <v>250000</v>
      </c>
    </row>
    <row r="13" spans="1:3" x14ac:dyDescent="0.25">
      <c r="A13" s="1">
        <v>7</v>
      </c>
      <c r="B13" t="s">
        <v>3</v>
      </c>
      <c r="C13" s="1">
        <v>250000</v>
      </c>
    </row>
    <row r="14" spans="1:3" x14ac:dyDescent="0.25">
      <c r="A14" s="1">
        <v>8</v>
      </c>
      <c r="B14" t="s">
        <v>13</v>
      </c>
      <c r="C14" s="1">
        <v>250000</v>
      </c>
    </row>
    <row r="15" spans="1:3" x14ac:dyDescent="0.25">
      <c r="A15" s="1">
        <v>9</v>
      </c>
      <c r="B15" t="s">
        <v>4</v>
      </c>
      <c r="C15" s="1">
        <v>250000</v>
      </c>
    </row>
    <row r="16" spans="1:3" x14ac:dyDescent="0.25">
      <c r="A16" s="1">
        <v>10</v>
      </c>
      <c r="B16" t="s">
        <v>5</v>
      </c>
      <c r="C16" s="1">
        <v>250000</v>
      </c>
    </row>
    <row r="17" spans="1:3" x14ac:dyDescent="0.25">
      <c r="A17" s="1">
        <v>11</v>
      </c>
      <c r="B17" t="s">
        <v>10</v>
      </c>
      <c r="C17" s="1">
        <v>150000</v>
      </c>
    </row>
    <row r="18" spans="1:3" x14ac:dyDescent="0.25">
      <c r="A18" s="1">
        <v>12</v>
      </c>
      <c r="B18" t="s">
        <v>6</v>
      </c>
      <c r="C18" s="1">
        <v>150000</v>
      </c>
    </row>
    <row r="19" spans="1:3" x14ac:dyDescent="0.25">
      <c r="A19" s="1">
        <v>13</v>
      </c>
      <c r="B19" t="s">
        <v>9</v>
      </c>
      <c r="C19" s="1">
        <v>250000</v>
      </c>
    </row>
    <row r="20" spans="1:3" x14ac:dyDescent="0.25">
      <c r="A20" s="1">
        <v>14</v>
      </c>
      <c r="B20" t="s">
        <v>7</v>
      </c>
      <c r="C20" s="1">
        <v>250000</v>
      </c>
    </row>
    <row r="21" spans="1:3" x14ac:dyDescent="0.25">
      <c r="A21" s="1">
        <v>15</v>
      </c>
      <c r="B21" t="s">
        <v>14</v>
      </c>
      <c r="C21" s="1">
        <v>250000</v>
      </c>
    </row>
    <row r="22" spans="1:3" x14ac:dyDescent="0.25">
      <c r="A22" s="1">
        <v>16</v>
      </c>
      <c r="B22" t="s">
        <v>8</v>
      </c>
      <c r="C22" s="1">
        <v>150000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zoomScale="106" zoomScaleNormal="106" workbookViewId="0">
      <selection activeCell="C4" sqref="C4"/>
    </sheetView>
  </sheetViews>
  <sheetFormatPr defaultRowHeight="15" x14ac:dyDescent="0.25"/>
  <cols>
    <col min="2" max="2" width="65.7109375" customWidth="1"/>
    <col min="3" max="3" width="13.42578125" customWidth="1"/>
    <col min="5" max="5" width="9.85546875" customWidth="1"/>
  </cols>
  <sheetData>
    <row r="1" spans="1:10" x14ac:dyDescent="0.25">
      <c r="A1" t="s">
        <v>49</v>
      </c>
    </row>
    <row r="3" spans="1:10" ht="18.75" customHeight="1" x14ac:dyDescent="0.25">
      <c r="A3" s="2" t="s">
        <v>1</v>
      </c>
      <c r="B3" s="2" t="s">
        <v>15</v>
      </c>
      <c r="C3" s="3" t="s">
        <v>2</v>
      </c>
    </row>
    <row r="4" spans="1:10" x14ac:dyDescent="0.25">
      <c r="A4" s="1">
        <v>1</v>
      </c>
      <c r="B4" t="s">
        <v>16</v>
      </c>
      <c r="C4" s="1">
        <v>80000</v>
      </c>
      <c r="F4" s="1"/>
    </row>
    <row r="5" spans="1:10" x14ac:dyDescent="0.25">
      <c r="A5" s="1">
        <v>2</v>
      </c>
      <c r="B5" t="s">
        <v>17</v>
      </c>
      <c r="C5" s="1">
        <v>80000</v>
      </c>
      <c r="F5" s="1"/>
      <c r="G5" s="4"/>
      <c r="H5" s="1"/>
      <c r="I5" s="1"/>
      <c r="J5" s="1"/>
    </row>
    <row r="6" spans="1:10" x14ac:dyDescent="0.25">
      <c r="A6" s="1">
        <v>3</v>
      </c>
      <c r="B6" t="s">
        <v>18</v>
      </c>
      <c r="C6" s="1">
        <v>120000</v>
      </c>
      <c r="F6" s="1"/>
      <c r="G6" s="4"/>
      <c r="H6" s="1"/>
      <c r="I6" s="1"/>
      <c r="J6" s="1"/>
    </row>
    <row r="7" spans="1:10" x14ac:dyDescent="0.25">
      <c r="A7" s="1">
        <v>4</v>
      </c>
      <c r="B7" t="s">
        <v>11</v>
      </c>
      <c r="C7" s="1">
        <v>120000</v>
      </c>
      <c r="F7" s="1"/>
      <c r="G7" s="4"/>
      <c r="H7" s="1"/>
      <c r="I7" s="1"/>
      <c r="J7" s="1"/>
    </row>
    <row r="8" spans="1:10" x14ac:dyDescent="0.25">
      <c r="A8" s="1">
        <v>5</v>
      </c>
      <c r="B8" t="s">
        <v>12</v>
      </c>
      <c r="C8" s="1">
        <v>120000</v>
      </c>
      <c r="F8" s="1"/>
      <c r="G8" s="4"/>
      <c r="H8" s="1"/>
      <c r="I8" s="1"/>
      <c r="J8" s="1"/>
    </row>
    <row r="9" spans="1:10" x14ac:dyDescent="0.25">
      <c r="A9" s="1">
        <v>6</v>
      </c>
      <c r="B9" t="s">
        <v>3</v>
      </c>
      <c r="C9" s="1">
        <v>120000</v>
      </c>
      <c r="F9" s="1"/>
      <c r="G9" s="4"/>
      <c r="H9" s="1"/>
      <c r="I9" s="1"/>
      <c r="J9" s="1"/>
    </row>
    <row r="10" spans="1:10" x14ac:dyDescent="0.25">
      <c r="A10" s="1">
        <v>7</v>
      </c>
      <c r="B10" t="s">
        <v>20</v>
      </c>
      <c r="C10" s="1">
        <v>120000</v>
      </c>
      <c r="F10" s="1"/>
      <c r="G10" s="4"/>
      <c r="H10" s="1"/>
      <c r="I10" s="1"/>
      <c r="J10" s="1"/>
    </row>
    <row r="11" spans="1:10" x14ac:dyDescent="0.25">
      <c r="A11" s="1">
        <v>8</v>
      </c>
      <c r="B11" t="s">
        <v>21</v>
      </c>
      <c r="C11" s="1">
        <v>120000</v>
      </c>
    </row>
    <row r="12" spans="1:10" x14ac:dyDescent="0.25">
      <c r="A12" s="1">
        <v>9</v>
      </c>
      <c r="B12" t="s">
        <v>13</v>
      </c>
      <c r="C12" s="1">
        <v>120000</v>
      </c>
    </row>
    <row r="13" spans="1:10" x14ac:dyDescent="0.25">
      <c r="A13" s="1">
        <v>10</v>
      </c>
      <c r="B13" t="s">
        <v>4</v>
      </c>
      <c r="C13" s="1">
        <v>120000</v>
      </c>
    </row>
    <row r="14" spans="1:10" x14ac:dyDescent="0.25">
      <c r="A14" s="1">
        <v>11</v>
      </c>
      <c r="B14" t="s">
        <v>24</v>
      </c>
      <c r="C14" s="1">
        <v>120000</v>
      </c>
    </row>
    <row r="15" spans="1:10" x14ac:dyDescent="0.25">
      <c r="A15" s="1">
        <v>12</v>
      </c>
      <c r="B15" t="s">
        <v>22</v>
      </c>
      <c r="C15" s="1">
        <v>120000</v>
      </c>
    </row>
    <row r="16" spans="1:10" x14ac:dyDescent="0.25">
      <c r="A16" s="1">
        <v>13</v>
      </c>
      <c r="B16" t="s">
        <v>5</v>
      </c>
      <c r="C16" s="1">
        <v>120000</v>
      </c>
    </row>
    <row r="17" spans="1:3" x14ac:dyDescent="0.25">
      <c r="A17" s="1">
        <v>14</v>
      </c>
      <c r="B17" t="s">
        <v>25</v>
      </c>
      <c r="C17" s="1">
        <v>120000</v>
      </c>
    </row>
    <row r="18" spans="1:3" x14ac:dyDescent="0.25">
      <c r="A18" s="1">
        <v>15</v>
      </c>
      <c r="B18" t="s">
        <v>6</v>
      </c>
      <c r="C18" s="1">
        <v>80000</v>
      </c>
    </row>
    <row r="19" spans="1:3" x14ac:dyDescent="0.25">
      <c r="A19" s="1">
        <v>16</v>
      </c>
      <c r="B19" t="s">
        <v>9</v>
      </c>
      <c r="C19" s="1">
        <v>120000</v>
      </c>
    </row>
    <row r="20" spans="1:3" x14ac:dyDescent="0.25">
      <c r="A20" s="1">
        <v>17</v>
      </c>
      <c r="B20" t="s">
        <v>7</v>
      </c>
      <c r="C20" s="1">
        <v>120000</v>
      </c>
    </row>
    <row r="21" spans="1:3" x14ac:dyDescent="0.25">
      <c r="A21" s="1">
        <v>18</v>
      </c>
      <c r="B21" t="s">
        <v>26</v>
      </c>
      <c r="C21" s="1">
        <v>80000</v>
      </c>
    </row>
    <row r="22" spans="1:3" x14ac:dyDescent="0.25">
      <c r="A22" s="1">
        <v>19</v>
      </c>
      <c r="B22" t="s">
        <v>8</v>
      </c>
      <c r="C22" s="1">
        <v>80000</v>
      </c>
    </row>
    <row r="23" spans="1:3" x14ac:dyDescent="0.25">
      <c r="A23" s="1">
        <v>20</v>
      </c>
      <c r="B23" t="s">
        <v>23</v>
      </c>
    </row>
    <row r="24" spans="1:3" x14ac:dyDescent="0.25">
      <c r="A24" s="1">
        <v>21</v>
      </c>
      <c r="B24" t="s">
        <v>27</v>
      </c>
    </row>
    <row r="25" spans="1:3" x14ac:dyDescent="0.25">
      <c r="A25" s="1">
        <v>22</v>
      </c>
      <c r="B25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C33"/>
  <sheetViews>
    <sheetView topLeftCell="A11" workbookViewId="0">
      <selection activeCell="F30" sqref="F30"/>
    </sheetView>
  </sheetViews>
  <sheetFormatPr defaultRowHeight="15" x14ac:dyDescent="0.25"/>
  <cols>
    <col min="2" max="2" width="59" customWidth="1"/>
    <col min="3" max="3" width="13.42578125" customWidth="1"/>
  </cols>
  <sheetData>
    <row r="4" spans="1:3" x14ac:dyDescent="0.25">
      <c r="A4" t="s">
        <v>29</v>
      </c>
    </row>
    <row r="6" spans="1:3" ht="18.75" customHeight="1" x14ac:dyDescent="0.25">
      <c r="A6" s="2" t="s">
        <v>1</v>
      </c>
      <c r="B6" s="2" t="s">
        <v>15</v>
      </c>
      <c r="C6" s="3" t="s">
        <v>2</v>
      </c>
    </row>
    <row r="7" spans="1:3" x14ac:dyDescent="0.25">
      <c r="A7" s="1">
        <v>1</v>
      </c>
      <c r="B7" t="s">
        <v>16</v>
      </c>
      <c r="C7" s="1">
        <v>40000</v>
      </c>
    </row>
    <row r="8" spans="1:3" x14ac:dyDescent="0.25">
      <c r="A8" s="1">
        <v>2</v>
      </c>
      <c r="B8" t="s">
        <v>17</v>
      </c>
      <c r="C8" s="1">
        <v>40000</v>
      </c>
    </row>
    <row r="9" spans="1:3" x14ac:dyDescent="0.25">
      <c r="A9" s="1">
        <v>3</v>
      </c>
      <c r="B9" t="s">
        <v>18</v>
      </c>
      <c r="C9" s="1">
        <v>40000</v>
      </c>
    </row>
    <row r="10" spans="1:3" x14ac:dyDescent="0.25">
      <c r="A10" s="1">
        <v>4</v>
      </c>
      <c r="B10" t="s">
        <v>30</v>
      </c>
      <c r="C10" s="1">
        <v>50000</v>
      </c>
    </row>
    <row r="11" spans="1:3" x14ac:dyDescent="0.25">
      <c r="A11" s="1">
        <v>5</v>
      </c>
      <c r="B11" t="s">
        <v>31</v>
      </c>
      <c r="C11" s="1">
        <v>50000</v>
      </c>
    </row>
    <row r="12" spans="1:3" x14ac:dyDescent="0.25">
      <c r="A12" s="1">
        <v>6</v>
      </c>
      <c r="B12" t="s">
        <v>32</v>
      </c>
      <c r="C12" s="1">
        <v>50000</v>
      </c>
    </row>
    <row r="13" spans="1:3" x14ac:dyDescent="0.25">
      <c r="A13" s="1">
        <v>7</v>
      </c>
      <c r="B13" t="s">
        <v>33</v>
      </c>
      <c r="C13" s="1">
        <v>50000</v>
      </c>
    </row>
    <row r="14" spans="1:3" x14ac:dyDescent="0.25">
      <c r="A14" s="1">
        <v>8</v>
      </c>
      <c r="B14" t="s">
        <v>34</v>
      </c>
      <c r="C14" s="1">
        <v>50000</v>
      </c>
    </row>
    <row r="15" spans="1:3" x14ac:dyDescent="0.25">
      <c r="A15" s="1">
        <v>9</v>
      </c>
      <c r="B15" t="s">
        <v>35</v>
      </c>
      <c r="C15" s="1">
        <v>50000</v>
      </c>
    </row>
    <row r="16" spans="1:3" x14ac:dyDescent="0.25">
      <c r="A16" s="1">
        <v>10</v>
      </c>
      <c r="B16" t="s">
        <v>36</v>
      </c>
      <c r="C16" s="1">
        <v>50000</v>
      </c>
    </row>
    <row r="17" spans="1:3" x14ac:dyDescent="0.25">
      <c r="A17" s="1">
        <v>11</v>
      </c>
      <c r="B17" t="s">
        <v>37</v>
      </c>
      <c r="C17" s="1">
        <v>50000</v>
      </c>
    </row>
    <row r="18" spans="1:3" x14ac:dyDescent="0.25">
      <c r="A18" s="1">
        <v>12</v>
      </c>
      <c r="B18" t="s">
        <v>38</v>
      </c>
      <c r="C18" s="1">
        <v>50000</v>
      </c>
    </row>
    <row r="19" spans="1:3" x14ac:dyDescent="0.25">
      <c r="A19" s="1">
        <v>13</v>
      </c>
      <c r="B19" t="s">
        <v>39</v>
      </c>
      <c r="C19" s="1">
        <v>50000</v>
      </c>
    </row>
    <row r="20" spans="1:3" x14ac:dyDescent="0.25">
      <c r="A20" s="1">
        <v>14</v>
      </c>
      <c r="B20" t="s">
        <v>40</v>
      </c>
      <c r="C20" s="1">
        <v>50000</v>
      </c>
    </row>
    <row r="21" spans="1:3" x14ac:dyDescent="0.25">
      <c r="A21" s="1">
        <v>15</v>
      </c>
      <c r="B21" t="s">
        <v>41</v>
      </c>
      <c r="C21" s="1">
        <v>50000</v>
      </c>
    </row>
    <row r="22" spans="1:3" x14ac:dyDescent="0.25">
      <c r="A22" s="1">
        <v>16</v>
      </c>
      <c r="B22" t="s">
        <v>42</v>
      </c>
      <c r="C22" s="1">
        <v>50000</v>
      </c>
    </row>
    <row r="23" spans="1:3" x14ac:dyDescent="0.25">
      <c r="A23" s="1">
        <v>17</v>
      </c>
      <c r="B23" t="s">
        <v>45</v>
      </c>
      <c r="C23" s="1">
        <v>40000</v>
      </c>
    </row>
    <row r="24" spans="1:3" x14ac:dyDescent="0.25">
      <c r="A24" s="1">
        <v>18</v>
      </c>
      <c r="B24" t="s">
        <v>46</v>
      </c>
      <c r="C24" s="1">
        <v>50000</v>
      </c>
    </row>
    <row r="25" spans="1:3" x14ac:dyDescent="0.25">
      <c r="A25" s="1">
        <v>19</v>
      </c>
      <c r="B25" t="s">
        <v>10</v>
      </c>
      <c r="C25" s="1">
        <v>40000</v>
      </c>
    </row>
    <row r="26" spans="1:3" x14ac:dyDescent="0.25">
      <c r="A26" s="1">
        <v>20</v>
      </c>
      <c r="B26" t="s">
        <v>6</v>
      </c>
      <c r="C26" s="1">
        <v>40000</v>
      </c>
    </row>
    <row r="27" spans="1:3" x14ac:dyDescent="0.25">
      <c r="A27" s="1">
        <v>21</v>
      </c>
      <c r="B27" t="s">
        <v>9</v>
      </c>
      <c r="C27" s="1">
        <v>40000</v>
      </c>
    </row>
    <row r="28" spans="1:3" x14ac:dyDescent="0.25">
      <c r="A28" s="1">
        <v>22</v>
      </c>
      <c r="B28" t="s">
        <v>7</v>
      </c>
      <c r="C28" s="1">
        <v>40000</v>
      </c>
    </row>
    <row r="29" spans="1:3" x14ac:dyDescent="0.25">
      <c r="A29" s="1">
        <v>23</v>
      </c>
      <c r="B29" t="s">
        <v>14</v>
      </c>
      <c r="C29" s="1">
        <v>40000</v>
      </c>
    </row>
    <row r="30" spans="1:3" x14ac:dyDescent="0.25">
      <c r="A30" s="1">
        <v>24</v>
      </c>
      <c r="B30" t="s">
        <v>8</v>
      </c>
      <c r="C30" s="1">
        <v>40000</v>
      </c>
    </row>
    <row r="31" spans="1:3" x14ac:dyDescent="0.25">
      <c r="A31" s="1">
        <v>25</v>
      </c>
      <c r="B31" t="s">
        <v>43</v>
      </c>
      <c r="C31" s="1">
        <v>40000</v>
      </c>
    </row>
    <row r="32" spans="1:3" x14ac:dyDescent="0.25">
      <c r="A32" s="1">
        <v>26</v>
      </c>
      <c r="B32" t="s">
        <v>44</v>
      </c>
      <c r="C32" s="1">
        <v>40000</v>
      </c>
    </row>
    <row r="33" spans="1:3" x14ac:dyDescent="0.25">
      <c r="A33" s="1">
        <v>27</v>
      </c>
      <c r="B33" t="s">
        <v>47</v>
      </c>
      <c r="C33" s="1">
        <v>40000</v>
      </c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topLeftCell="A7" zoomScale="106" zoomScaleNormal="106" workbookViewId="0">
      <selection activeCell="F16" sqref="F16"/>
    </sheetView>
  </sheetViews>
  <sheetFormatPr defaultRowHeight="15" x14ac:dyDescent="0.25"/>
  <cols>
    <col min="2" max="2" width="65.7109375" customWidth="1"/>
    <col min="3" max="3" width="13.42578125" customWidth="1"/>
  </cols>
  <sheetData>
    <row r="1" spans="1:3" x14ac:dyDescent="0.25">
      <c r="A1" t="s">
        <v>48</v>
      </c>
    </row>
    <row r="3" spans="1:3" ht="18.75" customHeight="1" x14ac:dyDescent="0.25">
      <c r="A3" s="2" t="s">
        <v>1</v>
      </c>
      <c r="B3" s="2" t="s">
        <v>15</v>
      </c>
      <c r="C3" s="3" t="s">
        <v>2</v>
      </c>
    </row>
    <row r="4" spans="1:3" x14ac:dyDescent="0.25">
      <c r="A4" s="1">
        <v>1</v>
      </c>
      <c r="B4" t="s">
        <v>16</v>
      </c>
      <c r="C4" s="1">
        <v>150000</v>
      </c>
    </row>
    <row r="5" spans="1:3" x14ac:dyDescent="0.25">
      <c r="A5" s="1">
        <v>2</v>
      </c>
      <c r="B5" t="s">
        <v>62</v>
      </c>
      <c r="C5" s="1">
        <v>150000</v>
      </c>
    </row>
    <row r="6" spans="1:3" x14ac:dyDescent="0.25">
      <c r="A6" s="1">
        <v>3</v>
      </c>
      <c r="B6" t="s">
        <v>18</v>
      </c>
      <c r="C6" s="1">
        <v>150000</v>
      </c>
    </row>
    <row r="7" spans="1:3" x14ac:dyDescent="0.25">
      <c r="A7" s="1">
        <v>4</v>
      </c>
      <c r="B7" t="s">
        <v>11</v>
      </c>
      <c r="C7" s="1">
        <v>200000</v>
      </c>
    </row>
    <row r="8" spans="1:3" x14ac:dyDescent="0.25">
      <c r="A8" s="1">
        <v>5</v>
      </c>
      <c r="B8" t="s">
        <v>12</v>
      </c>
      <c r="C8" s="1">
        <v>200000</v>
      </c>
    </row>
    <row r="9" spans="1:3" x14ac:dyDescent="0.25">
      <c r="A9" s="1">
        <v>6</v>
      </c>
      <c r="B9" t="s">
        <v>3</v>
      </c>
      <c r="C9" s="1">
        <v>200000</v>
      </c>
    </row>
    <row r="10" spans="1:3" x14ac:dyDescent="0.25">
      <c r="A10" s="1">
        <v>7</v>
      </c>
      <c r="B10" t="s">
        <v>20</v>
      </c>
      <c r="C10" s="1">
        <v>200000</v>
      </c>
    </row>
    <row r="11" spans="1:3" x14ac:dyDescent="0.25">
      <c r="A11" s="1">
        <v>8</v>
      </c>
      <c r="B11" t="s">
        <v>21</v>
      </c>
      <c r="C11" s="1">
        <v>200000</v>
      </c>
    </row>
    <row r="12" spans="1:3" x14ac:dyDescent="0.25">
      <c r="A12" s="1">
        <v>9</v>
      </c>
      <c r="B12" t="s">
        <v>13</v>
      </c>
      <c r="C12" s="1">
        <v>200000</v>
      </c>
    </row>
    <row r="13" spans="1:3" x14ac:dyDescent="0.25">
      <c r="A13" s="1">
        <v>10</v>
      </c>
      <c r="B13" t="s">
        <v>4</v>
      </c>
      <c r="C13" s="1">
        <v>200000</v>
      </c>
    </row>
    <row r="14" spans="1:3" x14ac:dyDescent="0.25">
      <c r="A14" s="1">
        <v>11</v>
      </c>
      <c r="B14" t="s">
        <v>50</v>
      </c>
      <c r="C14" s="1">
        <v>200000</v>
      </c>
    </row>
    <row r="15" spans="1:3" x14ac:dyDescent="0.25">
      <c r="A15" s="1">
        <v>12</v>
      </c>
      <c r="B15" t="s">
        <v>51</v>
      </c>
      <c r="C15" s="1">
        <v>200000</v>
      </c>
    </row>
    <row r="16" spans="1:3" x14ac:dyDescent="0.25">
      <c r="A16" s="1">
        <v>13</v>
      </c>
      <c r="B16" t="s">
        <v>5</v>
      </c>
      <c r="C16" s="1">
        <v>200000</v>
      </c>
    </row>
    <row r="17" spans="1:3" x14ac:dyDescent="0.25">
      <c r="A17" s="1">
        <v>14</v>
      </c>
      <c r="B17" t="s">
        <v>25</v>
      </c>
      <c r="C17" s="1">
        <v>200000</v>
      </c>
    </row>
    <row r="18" spans="1:3" x14ac:dyDescent="0.25">
      <c r="A18" s="1">
        <v>15</v>
      </c>
      <c r="B18" t="s">
        <v>6</v>
      </c>
      <c r="C18" s="1">
        <v>150000</v>
      </c>
    </row>
    <row r="19" spans="1:3" x14ac:dyDescent="0.25">
      <c r="A19" s="1">
        <v>16</v>
      </c>
      <c r="B19" t="s">
        <v>9</v>
      </c>
      <c r="C19" s="1">
        <v>150000</v>
      </c>
    </row>
    <row r="20" spans="1:3" x14ac:dyDescent="0.25">
      <c r="A20" s="1">
        <v>17</v>
      </c>
      <c r="B20" t="s">
        <v>7</v>
      </c>
      <c r="C20" s="1">
        <v>150000</v>
      </c>
    </row>
    <row r="21" spans="1:3" x14ac:dyDescent="0.25">
      <c r="A21" s="1">
        <v>18</v>
      </c>
      <c r="B21" t="s">
        <v>26</v>
      </c>
      <c r="C21" s="1">
        <v>150000</v>
      </c>
    </row>
    <row r="22" spans="1:3" x14ac:dyDescent="0.25">
      <c r="A22" s="1">
        <v>19</v>
      </c>
      <c r="B22" t="s">
        <v>8</v>
      </c>
      <c r="C22" s="1">
        <v>150000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C19"/>
  <sheetViews>
    <sheetView topLeftCell="A4" workbookViewId="0">
      <selection activeCell="H11" sqref="H11"/>
    </sheetView>
  </sheetViews>
  <sheetFormatPr defaultRowHeight="15" x14ac:dyDescent="0.25"/>
  <cols>
    <col min="2" max="2" width="57.5703125" customWidth="1"/>
    <col min="3" max="3" width="13.42578125" customWidth="1"/>
  </cols>
  <sheetData>
    <row r="4" spans="1:3" x14ac:dyDescent="0.25">
      <c r="A4" t="s">
        <v>52</v>
      </c>
    </row>
    <row r="6" spans="1:3" ht="18.75" customHeight="1" x14ac:dyDescent="0.25">
      <c r="A6" s="2" t="s">
        <v>1</v>
      </c>
      <c r="B6" s="2" t="s">
        <v>15</v>
      </c>
      <c r="C6" s="3" t="s">
        <v>2</v>
      </c>
    </row>
    <row r="7" spans="1:3" x14ac:dyDescent="0.25">
      <c r="A7" s="1">
        <v>1</v>
      </c>
      <c r="B7" t="s">
        <v>63</v>
      </c>
      <c r="C7" s="9">
        <v>200000</v>
      </c>
    </row>
    <row r="8" spans="1:3" x14ac:dyDescent="0.25">
      <c r="A8" s="1">
        <v>2</v>
      </c>
      <c r="B8" t="s">
        <v>18</v>
      </c>
      <c r="C8" s="9">
        <v>150000</v>
      </c>
    </row>
    <row r="9" spans="1:3" x14ac:dyDescent="0.25">
      <c r="A9" s="1">
        <v>3</v>
      </c>
      <c r="B9" t="s">
        <v>53</v>
      </c>
      <c r="C9" s="9">
        <v>200000</v>
      </c>
    </row>
    <row r="10" spans="1:3" x14ac:dyDescent="0.25">
      <c r="A10" s="1">
        <v>4</v>
      </c>
      <c r="B10" t="s">
        <v>12</v>
      </c>
      <c r="C10" s="9">
        <v>200000</v>
      </c>
    </row>
    <row r="11" spans="1:3" x14ac:dyDescent="0.25">
      <c r="A11" s="1">
        <v>5</v>
      </c>
      <c r="B11" t="s">
        <v>3</v>
      </c>
      <c r="C11" s="9">
        <v>200000</v>
      </c>
    </row>
    <row r="12" spans="1:3" x14ac:dyDescent="0.25">
      <c r="A12" s="1">
        <v>6</v>
      </c>
      <c r="B12" t="s">
        <v>20</v>
      </c>
      <c r="C12" s="9">
        <v>200000</v>
      </c>
    </row>
    <row r="13" spans="1:3" x14ac:dyDescent="0.25">
      <c r="A13" s="1">
        <v>7</v>
      </c>
      <c r="B13" t="s">
        <v>21</v>
      </c>
      <c r="C13" s="9">
        <v>200000</v>
      </c>
    </row>
    <row r="14" spans="1:3" x14ac:dyDescent="0.25">
      <c r="A14" s="1">
        <v>8</v>
      </c>
      <c r="B14" t="s">
        <v>5</v>
      </c>
      <c r="C14" s="9">
        <v>200000</v>
      </c>
    </row>
    <row r="15" spans="1:3" x14ac:dyDescent="0.25">
      <c r="A15" s="1">
        <v>9</v>
      </c>
      <c r="B15" t="s">
        <v>54</v>
      </c>
      <c r="C15" s="9">
        <v>150000</v>
      </c>
    </row>
    <row r="16" spans="1:3" x14ac:dyDescent="0.25">
      <c r="A16" s="1">
        <v>10</v>
      </c>
      <c r="B16" t="s">
        <v>55</v>
      </c>
      <c r="C16" s="9">
        <v>150000</v>
      </c>
    </row>
    <row r="17" spans="1:3" x14ac:dyDescent="0.25">
      <c r="A17" s="1">
        <v>11</v>
      </c>
      <c r="B17" t="s">
        <v>6</v>
      </c>
      <c r="C17" s="9">
        <v>150000</v>
      </c>
    </row>
    <row r="18" spans="1:3" x14ac:dyDescent="0.25">
      <c r="A18" s="1">
        <v>12</v>
      </c>
      <c r="B18" t="s">
        <v>7</v>
      </c>
      <c r="C18" s="9">
        <v>150000</v>
      </c>
    </row>
    <row r="19" spans="1:3" x14ac:dyDescent="0.25">
      <c r="A19" s="1">
        <v>13</v>
      </c>
      <c r="B19" t="s">
        <v>8</v>
      </c>
      <c r="C19" s="9">
        <v>150000</v>
      </c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C19"/>
  <sheetViews>
    <sheetView workbookViewId="0">
      <selection activeCell="G13" sqref="G13"/>
    </sheetView>
  </sheetViews>
  <sheetFormatPr defaultRowHeight="15" x14ac:dyDescent="0.25"/>
  <cols>
    <col min="2" max="2" width="57.5703125" customWidth="1"/>
    <col min="3" max="3" width="13.42578125" customWidth="1"/>
  </cols>
  <sheetData>
    <row r="4" spans="1:3" x14ac:dyDescent="0.25">
      <c r="A4" t="s">
        <v>56</v>
      </c>
    </row>
    <row r="6" spans="1:3" ht="18.75" customHeight="1" x14ac:dyDescent="0.25">
      <c r="A6" s="2" t="s">
        <v>1</v>
      </c>
      <c r="B6" s="2" t="s">
        <v>15</v>
      </c>
      <c r="C6" s="3" t="s">
        <v>2</v>
      </c>
    </row>
    <row r="7" spans="1:3" x14ac:dyDescent="0.25">
      <c r="A7" s="1">
        <v>1</v>
      </c>
      <c r="B7" t="s">
        <v>62</v>
      </c>
      <c r="C7" s="1">
        <v>150000</v>
      </c>
    </row>
    <row r="8" spans="1:3" x14ac:dyDescent="0.25">
      <c r="A8" s="1">
        <v>2</v>
      </c>
      <c r="B8" t="s">
        <v>18</v>
      </c>
      <c r="C8" s="1">
        <v>150000</v>
      </c>
    </row>
    <row r="9" spans="1:3" x14ac:dyDescent="0.25">
      <c r="A9" s="1">
        <v>3</v>
      </c>
      <c r="B9" t="s">
        <v>30</v>
      </c>
      <c r="C9" s="1">
        <v>250000</v>
      </c>
    </row>
    <row r="10" spans="1:3" x14ac:dyDescent="0.25">
      <c r="A10" s="1">
        <v>4</v>
      </c>
      <c r="B10" t="s">
        <v>64</v>
      </c>
      <c r="C10" s="1">
        <v>200000</v>
      </c>
    </row>
    <row r="11" spans="1:3" x14ac:dyDescent="0.25">
      <c r="A11" s="1">
        <v>5</v>
      </c>
      <c r="B11" t="s">
        <v>12</v>
      </c>
      <c r="C11" s="1">
        <v>200000</v>
      </c>
    </row>
    <row r="12" spans="1:3" x14ac:dyDescent="0.25">
      <c r="A12" s="1">
        <v>6</v>
      </c>
      <c r="B12" t="s">
        <v>3</v>
      </c>
      <c r="C12" s="1">
        <v>200000</v>
      </c>
    </row>
    <row r="13" spans="1:3" x14ac:dyDescent="0.25">
      <c r="A13" s="1">
        <v>7</v>
      </c>
      <c r="B13" t="s">
        <v>61</v>
      </c>
      <c r="C13" s="1">
        <v>200000</v>
      </c>
    </row>
    <row r="14" spans="1:3" x14ac:dyDescent="0.25">
      <c r="A14" s="1">
        <v>8</v>
      </c>
      <c r="B14" t="s">
        <v>57</v>
      </c>
      <c r="C14" s="1">
        <v>200000</v>
      </c>
    </row>
    <row r="15" spans="1:3" x14ac:dyDescent="0.25">
      <c r="A15" s="1">
        <v>9</v>
      </c>
      <c r="B15" t="s">
        <v>58</v>
      </c>
      <c r="C15" s="1">
        <v>200000</v>
      </c>
    </row>
    <row r="16" spans="1:3" x14ac:dyDescent="0.25">
      <c r="A16" s="1">
        <v>10</v>
      </c>
      <c r="B16" t="s">
        <v>59</v>
      </c>
      <c r="C16" s="1">
        <v>150000</v>
      </c>
    </row>
    <row r="17" spans="1:3" x14ac:dyDescent="0.25">
      <c r="A17" s="1">
        <v>11</v>
      </c>
      <c r="B17" t="s">
        <v>60</v>
      </c>
      <c r="C17" s="1">
        <v>150000</v>
      </c>
    </row>
    <row r="18" spans="1:3" x14ac:dyDescent="0.25">
      <c r="A18" s="1">
        <v>12</v>
      </c>
      <c r="B18" t="s">
        <v>6</v>
      </c>
      <c r="C18" s="1">
        <v>150000</v>
      </c>
    </row>
    <row r="19" spans="1:3" x14ac:dyDescent="0.25">
      <c r="A19" s="1">
        <v>13</v>
      </c>
      <c r="B19" t="s">
        <v>7</v>
      </c>
      <c r="C19" s="1">
        <v>150000</v>
      </c>
    </row>
  </sheetData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0"/>
  <sheetViews>
    <sheetView workbookViewId="0">
      <selection activeCell="H10" sqref="H10"/>
    </sheetView>
  </sheetViews>
  <sheetFormatPr defaultRowHeight="15" x14ac:dyDescent="0.25"/>
  <cols>
    <col min="2" max="2" width="13.7109375" customWidth="1"/>
  </cols>
  <sheetData>
    <row r="2" spans="1:8" x14ac:dyDescent="0.25">
      <c r="A2" t="s">
        <v>76</v>
      </c>
    </row>
    <row r="4" spans="1:8" ht="15.75" x14ac:dyDescent="0.25">
      <c r="B4" s="5" t="s">
        <v>77</v>
      </c>
      <c r="C4" s="5" t="s">
        <v>71</v>
      </c>
      <c r="D4" s="5" t="s">
        <v>72</v>
      </c>
      <c r="E4" s="5" t="s">
        <v>73</v>
      </c>
      <c r="F4" s="5" t="s">
        <v>74</v>
      </c>
      <c r="G4" s="5" t="s">
        <v>75</v>
      </c>
      <c r="H4" s="5" t="s">
        <v>78</v>
      </c>
    </row>
    <row r="5" spans="1:8" x14ac:dyDescent="0.25">
      <c r="B5" s="6" t="s">
        <v>65</v>
      </c>
      <c r="C5" s="6">
        <v>52</v>
      </c>
      <c r="D5" s="7">
        <f>60/C5</f>
        <v>1.1538461538461537</v>
      </c>
      <c r="E5" s="8">
        <f>60*D5</f>
        <v>69.230769230769226</v>
      </c>
      <c r="F5" s="8">
        <f>E5*22.5</f>
        <v>1557.6923076923076</v>
      </c>
      <c r="G5" s="8">
        <f>26*F5</f>
        <v>40500</v>
      </c>
      <c r="H5" s="8">
        <f>G5*3</f>
        <v>121500</v>
      </c>
    </row>
    <row r="6" spans="1:8" x14ac:dyDescent="0.25">
      <c r="B6" s="6" t="s">
        <v>66</v>
      </c>
      <c r="C6" s="6">
        <v>30</v>
      </c>
      <c r="D6" s="7">
        <f t="shared" ref="D6:D10" si="0">60/C6</f>
        <v>2</v>
      </c>
      <c r="E6" s="8">
        <f t="shared" ref="E6:E10" si="1">60*D6</f>
        <v>120</v>
      </c>
      <c r="F6" s="8">
        <f t="shared" ref="F6:F10" si="2">E6*22.5</f>
        <v>2700</v>
      </c>
      <c r="G6" s="8">
        <f t="shared" ref="G6:G10" si="3">26*F6</f>
        <v>70200</v>
      </c>
      <c r="H6" s="8">
        <f t="shared" ref="H6:H10" si="4">G6*3</f>
        <v>210600</v>
      </c>
    </row>
    <row r="7" spans="1:8" x14ac:dyDescent="0.25">
      <c r="B7" s="6" t="s">
        <v>67</v>
      </c>
      <c r="C7" s="6">
        <v>23</v>
      </c>
      <c r="D7" s="7">
        <f t="shared" si="0"/>
        <v>2.6086956521739131</v>
      </c>
      <c r="E7" s="8">
        <f t="shared" si="1"/>
        <v>156.52173913043478</v>
      </c>
      <c r="F7" s="8">
        <f t="shared" si="2"/>
        <v>3521.7391304347825</v>
      </c>
      <c r="G7" s="8">
        <f t="shared" si="3"/>
        <v>91565.217391304352</v>
      </c>
      <c r="H7" s="8">
        <f t="shared" si="4"/>
        <v>274695.65217391308</v>
      </c>
    </row>
    <row r="8" spans="1:8" x14ac:dyDescent="0.25">
      <c r="B8" s="6" t="s">
        <v>68</v>
      </c>
      <c r="C8" s="6">
        <v>10</v>
      </c>
      <c r="D8" s="7">
        <f t="shared" si="0"/>
        <v>6</v>
      </c>
      <c r="E8" s="8">
        <f t="shared" si="1"/>
        <v>360</v>
      </c>
      <c r="F8" s="8">
        <f t="shared" si="2"/>
        <v>8100</v>
      </c>
      <c r="G8" s="8">
        <f t="shared" si="3"/>
        <v>210600</v>
      </c>
      <c r="H8" s="8">
        <f t="shared" si="4"/>
        <v>631800</v>
      </c>
    </row>
    <row r="9" spans="1:8" x14ac:dyDescent="0.25">
      <c r="B9" s="6" t="s">
        <v>69</v>
      </c>
      <c r="C9" s="6">
        <v>110</v>
      </c>
      <c r="D9" s="7">
        <f t="shared" si="0"/>
        <v>0.54545454545454541</v>
      </c>
      <c r="E9" s="8">
        <f t="shared" si="1"/>
        <v>32.727272727272727</v>
      </c>
      <c r="F9" s="8">
        <f t="shared" si="2"/>
        <v>736.36363636363637</v>
      </c>
      <c r="G9" s="8">
        <f t="shared" si="3"/>
        <v>19145.454545454544</v>
      </c>
      <c r="H9" s="8">
        <f t="shared" si="4"/>
        <v>57436.363636363632</v>
      </c>
    </row>
    <row r="10" spans="1:8" x14ac:dyDescent="0.25">
      <c r="B10" s="6" t="s">
        <v>70</v>
      </c>
      <c r="C10" s="6">
        <v>32</v>
      </c>
      <c r="D10" s="7">
        <f t="shared" si="0"/>
        <v>1.875</v>
      </c>
      <c r="E10" s="8">
        <f t="shared" si="1"/>
        <v>112.5</v>
      </c>
      <c r="F10" s="8">
        <f t="shared" si="2"/>
        <v>2531.25</v>
      </c>
      <c r="G10" s="8">
        <f t="shared" si="3"/>
        <v>65812.5</v>
      </c>
      <c r="H10" s="8">
        <f t="shared" si="4"/>
        <v>197437.5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CNC </vt:lpstr>
      <vt:lpstr>VMC Brother</vt:lpstr>
      <vt:lpstr>T sugami</vt:lpstr>
      <vt:lpstr>VMC Hundai</vt:lpstr>
      <vt:lpstr>Grinding</vt:lpstr>
      <vt:lpstr>Sujigo SPM 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2020-05-09T06:45:56Z</dcterms:modified>
</cp:coreProperties>
</file>