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645" windowHeight="11595" tabRatio="250"/>
  </bookViews>
  <sheets>
    <sheet name="HourlyCount" sheetId="1" r:id="rId1"/>
  </sheets>
  <definedNames>
    <definedName name="_xlnm.Print_Area" localSheetId="0">HourlyCount!$A$11:$AP$44</definedName>
  </definedNames>
  <calcPr calcId="144525" concurrentCalc="0"/>
</workbook>
</file>

<file path=xl/sharedStrings.xml><?xml version="1.0" encoding="utf-8"?>
<sst xmlns="http://schemas.openxmlformats.org/spreadsheetml/2006/main" count="96">
  <si>
    <t>Quality Losses</t>
  </si>
  <si>
    <t>Availablity Losses</t>
  </si>
  <si>
    <t>Performance Losses</t>
  </si>
  <si>
    <t>Chart1</t>
  </si>
  <si>
    <t>Chart2</t>
  </si>
  <si>
    <t>Chart3</t>
  </si>
  <si>
    <t>LQ1</t>
  </si>
  <si>
    <t>LA1</t>
  </si>
  <si>
    <t>Movomatic problem</t>
  </si>
  <si>
    <t>Middle / taper problen</t>
  </si>
  <si>
    <t>LA13</t>
  </si>
  <si>
    <t>Dressing Trouble</t>
  </si>
  <si>
    <t>LA19</t>
  </si>
  <si>
    <t>Spares Not Available</t>
  </si>
  <si>
    <t>LP1</t>
  </si>
  <si>
    <t>LQ2</t>
  </si>
  <si>
    <t>LA2</t>
  </si>
  <si>
    <t>Roundness / clearance not OK</t>
  </si>
  <si>
    <t>LA14</t>
  </si>
  <si>
    <t>Cycle time variation</t>
  </si>
  <si>
    <t>LA20</t>
  </si>
  <si>
    <t>Power Failure</t>
  </si>
  <si>
    <t>LP2</t>
  </si>
  <si>
    <t>LQ3</t>
  </si>
  <si>
    <t>LA3</t>
  </si>
  <si>
    <t>Sliding door</t>
  </si>
  <si>
    <t>LA15</t>
  </si>
  <si>
    <t>Coolant /Lub leakage &amp; problems</t>
  </si>
  <si>
    <t>LA21</t>
  </si>
  <si>
    <t>Loss due to Tool change</t>
  </si>
  <si>
    <t>LP3</t>
  </si>
  <si>
    <t>LQ4</t>
  </si>
  <si>
    <t>LA4</t>
  </si>
  <si>
    <t>Dressing coolant problem</t>
  </si>
  <si>
    <t>LA16</t>
  </si>
  <si>
    <t>Setup Change [min]</t>
  </si>
  <si>
    <t>LA22</t>
  </si>
  <si>
    <t>LP4</t>
  </si>
  <si>
    <t>LQ5</t>
  </si>
  <si>
    <t>LA5</t>
  </si>
  <si>
    <t>Preprocess gauge</t>
  </si>
  <si>
    <t>LA17</t>
  </si>
  <si>
    <t>No operator / Out pass</t>
  </si>
  <si>
    <t>LA23</t>
  </si>
  <si>
    <t>LP5</t>
  </si>
  <si>
    <t>LA6</t>
  </si>
  <si>
    <t>wheel head problem</t>
  </si>
  <si>
    <t>LA18</t>
  </si>
  <si>
    <t>No Material from supplier/ previous M/c</t>
  </si>
  <si>
    <t>Hourly Tracking</t>
  </si>
  <si>
    <t>Machine:</t>
  </si>
  <si>
    <t>Date</t>
  </si>
  <si>
    <r>
      <rPr>
        <b/>
        <sz val="7"/>
        <rFont val="Arial"/>
        <charset val="134"/>
      </rPr>
      <t xml:space="preserve">Target
</t>
    </r>
    <r>
      <rPr>
        <sz val="7"/>
        <rFont val="Arial"/>
        <charset val="134"/>
      </rPr>
      <t>(based on 100% OEE)</t>
    </r>
  </si>
  <si>
    <t>Actual</t>
  </si>
  <si>
    <t>Pieces / hour</t>
  </si>
  <si>
    <t>Quality [Pieces]</t>
  </si>
  <si>
    <t>Losses [mins]</t>
  </si>
  <si>
    <t>Remarks</t>
  </si>
  <si>
    <t>Time</t>
  </si>
  <si>
    <t>Pcs</t>
  </si>
  <si>
    <t>Cumu</t>
  </si>
  <si>
    <t>Scrap</t>
  </si>
  <si>
    <t>Rework</t>
  </si>
  <si>
    <t>6-7</t>
  </si>
  <si>
    <t>7-8</t>
  </si>
  <si>
    <t>8-9</t>
  </si>
  <si>
    <t>9-10</t>
  </si>
  <si>
    <t>10-11</t>
  </si>
  <si>
    <t>11-12</t>
  </si>
  <si>
    <t>12-13</t>
  </si>
  <si>
    <t>13-14</t>
  </si>
  <si>
    <t xml:space="preserve"> Σ 1. S. </t>
  </si>
  <si>
    <t>Supervisor Name: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</si>
  <si>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</si>
  <si>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</si>
  <si>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</si>
  <si>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</si>
  <si>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</si>
  <si>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</si>
  <si>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</si>
  <si>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</si>
  <si>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 xml:space="preserve"> Σ 2. S.</t>
  </si>
  <si>
    <t>22-23</t>
  </si>
  <si>
    <t>23-24</t>
  </si>
  <si>
    <t>0-1</t>
  </si>
  <si>
    <t>1-2</t>
  </si>
  <si>
    <t>2-3</t>
  </si>
  <si>
    <t>3-4</t>
  </si>
  <si>
    <t>4-5</t>
  </si>
  <si>
    <t>5-6</t>
  </si>
  <si>
    <t xml:space="preserve"> Σ 3. S.</t>
  </si>
  <si>
    <t>Total Per Day</t>
  </si>
  <si>
    <t>Signature :</t>
  </si>
  <si>
    <t>TL shift 1</t>
  </si>
  <si>
    <t>TL shift 2</t>
  </si>
  <si>
    <t>TL shift 3</t>
  </si>
</sst>
</file>

<file path=xl/styles.xml><?xml version="1.0" encoding="utf-8"?>
<styleSheet xmlns="http://schemas.openxmlformats.org/spreadsheetml/2006/main">
  <numFmts count="6">
    <numFmt numFmtId="176" formatCode="dd/mmm/yy"/>
    <numFmt numFmtId="177" formatCode="_ * #,##0_ ;_ * \-#,##0_ ;_ * &quot;-&quot;_ ;_ @_ "/>
    <numFmt numFmtId="178" formatCode="_ &quot;₹&quot;\ * #,##0.00_ ;_ &quot;₹&quot;\ * \-#,##0.00_ ;_ &quot;₹&quot;\ * &quot;-&quot;??_ ;_ @_ "/>
    <numFmt numFmtId="179" formatCode="_ &quot;₹&quot;\ * #,##0_ ;_ &quot;₹&quot;\ * \-#,##0_ ;_ &quot;₹&quot;\ * &quot;-&quot;_ ;_ @_ "/>
    <numFmt numFmtId="180" formatCode="_ * #,##0.00_ ;_ * \-#,##0.00_ ;_ * &quot;-&quot;??_ ;_ @_ "/>
    <numFmt numFmtId="181" formatCode="0;[Red]0"/>
  </numFmts>
  <fonts count="37">
    <font>
      <sz val="10"/>
      <name val="Arial"/>
      <charset val="134"/>
    </font>
    <font>
      <u/>
      <sz val="10"/>
      <name val="Arial"/>
      <charset val="134"/>
    </font>
    <font>
      <b/>
      <sz val="10"/>
      <color indexed="9"/>
      <name val="Arial"/>
      <charset val="134"/>
    </font>
    <font>
      <b/>
      <sz val="10"/>
      <name val="Arial"/>
      <charset val="134"/>
    </font>
    <font>
      <sz val="18"/>
      <color indexed="9"/>
      <name val="Arial"/>
      <charset val="134"/>
    </font>
    <font>
      <sz val="16"/>
      <color indexed="9"/>
      <name val="Arial"/>
      <charset val="134"/>
    </font>
    <font>
      <b/>
      <sz val="7"/>
      <name val="Arial"/>
      <charset val="134"/>
    </font>
    <font>
      <b/>
      <sz val="8"/>
      <name val="Arial"/>
      <charset val="134"/>
    </font>
    <font>
      <b/>
      <sz val="11"/>
      <name val="Arial"/>
      <charset val="134"/>
    </font>
    <font>
      <b/>
      <sz val="14"/>
      <name val="Arial"/>
      <charset val="134"/>
    </font>
    <font>
      <b/>
      <sz val="12"/>
      <color theme="0"/>
      <name val="Arial"/>
      <charset val="134"/>
    </font>
    <font>
      <sz val="12"/>
      <name val="Arial"/>
      <charset val="134"/>
    </font>
    <font>
      <b/>
      <sz val="12"/>
      <color indexed="9"/>
      <name val="Arial"/>
      <charset val="134"/>
    </font>
    <font>
      <sz val="11"/>
      <name val="Arial"/>
      <charset val="134"/>
    </font>
    <font>
      <sz val="10"/>
      <color theme="0"/>
      <name val="Arial"/>
      <charset val="134"/>
    </font>
    <font>
      <sz val="10"/>
      <color rgb="FFFF0000"/>
      <name val="Arial"/>
      <charset val="134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7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9"/>
      </right>
      <top style="medium">
        <color auto="1"/>
      </top>
      <bottom/>
      <diagonal/>
    </border>
    <border>
      <left style="medium">
        <color indexed="9"/>
      </left>
      <right/>
      <top style="medium">
        <color auto="1"/>
      </top>
      <bottom/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medium">
        <color auto="1"/>
      </left>
      <right style="thin">
        <color indexed="22"/>
      </right>
      <top style="thin">
        <color indexed="22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6" fillId="11" borderId="0" applyNumberFormat="0" applyBorder="0" applyAlignment="0" applyProtection="0">
      <alignment vertical="center"/>
    </xf>
    <xf numFmtId="180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179" fontId="18" fillId="0" borderId="0" applyFont="0" applyFill="0" applyBorder="0" applyAlignment="0" applyProtection="0">
      <alignment vertical="center"/>
    </xf>
    <xf numFmtId="178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9" fillId="12" borderId="66" applyNumberFormat="0" applyAlignment="0" applyProtection="0">
      <alignment vertical="center"/>
    </xf>
    <xf numFmtId="0" fontId="20" fillId="0" borderId="67" applyNumberFormat="0" applyFill="0" applyAlignment="0" applyProtection="0">
      <alignment vertical="center"/>
    </xf>
    <xf numFmtId="0" fontId="18" fillId="23" borderId="71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0" fillId="0" borderId="67" applyNumberFormat="0" applyFill="0" applyAlignment="0" applyProtection="0">
      <alignment vertical="center"/>
    </xf>
    <xf numFmtId="0" fontId="22" fillId="0" borderId="6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2" fillId="28" borderId="72" applyNumberFormat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29" fillId="22" borderId="70" applyNumberFormat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34" fillId="22" borderId="72" applyNumberFormat="0" applyAlignment="0" applyProtection="0">
      <alignment vertical="center"/>
    </xf>
    <xf numFmtId="0" fontId="35" fillId="0" borderId="73" applyNumberFormat="0" applyFill="0" applyAlignment="0" applyProtection="0">
      <alignment vertical="center"/>
    </xf>
    <xf numFmtId="0" fontId="26" fillId="0" borderId="68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</cellStyleXfs>
  <cellXfs count="166">
    <xf numFmtId="0" fontId="0" fillId="0" borderId="0" xfId="0"/>
    <xf numFmtId="0" fontId="0" fillId="0" borderId="1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2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3" fillId="0" borderId="6" xfId="0" applyNumberFormat="1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7" xfId="0" applyFont="1" applyBorder="1" applyAlignment="1">
      <alignment horizontal="left"/>
    </xf>
    <xf numFmtId="0" fontId="0" fillId="0" borderId="8" xfId="0" applyNumberFormat="1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9" xfId="0" applyFont="1" applyBorder="1" applyAlignment="1">
      <alignment horizontal="left"/>
    </xf>
    <xf numFmtId="0" fontId="4" fillId="2" borderId="10" xfId="0" applyNumberFormat="1" applyFont="1" applyFill="1" applyBorder="1" applyAlignment="1">
      <alignment horizontal="left" vertical="center"/>
    </xf>
    <xf numFmtId="0" fontId="0" fillId="2" borderId="11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left"/>
    </xf>
    <xf numFmtId="0" fontId="0" fillId="2" borderId="12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0" fontId="6" fillId="3" borderId="13" xfId="0" applyNumberFormat="1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 wrapText="1"/>
    </xf>
    <xf numFmtId="0" fontId="6" fillId="3" borderId="15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6" fillId="3" borderId="18" xfId="0" applyNumberFormat="1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 textRotation="180"/>
    </xf>
    <xf numFmtId="0" fontId="3" fillId="0" borderId="23" xfId="0" applyNumberFormat="1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181" fontId="0" fillId="0" borderId="24" xfId="0" applyNumberFormat="1" applyFont="1" applyFill="1" applyBorder="1" applyAlignment="1">
      <alignment horizontal="center" vertical="center"/>
    </xf>
    <xf numFmtId="181" fontId="0" fillId="0" borderId="26" xfId="0" applyNumberFormat="1" applyFont="1" applyBorder="1" applyAlignment="1">
      <alignment horizontal="center"/>
    </xf>
    <xf numFmtId="0" fontId="3" fillId="0" borderId="27" xfId="0" applyNumberFormat="1" applyFont="1" applyBorder="1" applyAlignment="1">
      <alignment horizontal="center"/>
    </xf>
    <xf numFmtId="0" fontId="0" fillId="0" borderId="28" xfId="0" applyFont="1" applyBorder="1" applyAlignment="1">
      <alignment horizontal="center"/>
    </xf>
    <xf numFmtId="0" fontId="0" fillId="0" borderId="29" xfId="0" applyFont="1" applyBorder="1" applyAlignment="1">
      <alignment horizontal="center"/>
    </xf>
    <xf numFmtId="181" fontId="0" fillId="0" borderId="28" xfId="0" applyNumberFormat="1" applyFont="1" applyFill="1" applyBorder="1" applyAlignment="1">
      <alignment horizontal="center" vertical="center"/>
    </xf>
    <xf numFmtId="181" fontId="0" fillId="0" borderId="30" xfId="0" applyNumberFormat="1" applyFont="1" applyBorder="1" applyAlignment="1">
      <alignment horizontal="center"/>
    </xf>
    <xf numFmtId="0" fontId="0" fillId="0" borderId="31" xfId="0" applyFont="1" applyBorder="1" applyAlignment="1">
      <alignment horizontal="center"/>
    </xf>
    <xf numFmtId="0" fontId="3" fillId="0" borderId="32" xfId="0" applyNumberFormat="1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181" fontId="0" fillId="0" borderId="34" xfId="0" applyNumberFormat="1" applyFont="1" applyFill="1" applyBorder="1" applyAlignment="1">
      <alignment horizontal="center" vertical="center"/>
    </xf>
    <xf numFmtId="181" fontId="0" fillId="0" borderId="22" xfId="0" applyNumberFormat="1" applyFont="1" applyBorder="1" applyAlignment="1">
      <alignment horizontal="center"/>
    </xf>
    <xf numFmtId="0" fontId="3" fillId="4" borderId="35" xfId="0" applyFont="1" applyFill="1" applyBorder="1" applyAlignment="1">
      <alignment horizontal="center"/>
    </xf>
    <xf numFmtId="0" fontId="0" fillId="3" borderId="36" xfId="0" applyNumberFormat="1" applyFont="1" applyFill="1" applyBorder="1" applyAlignment="1"/>
    <xf numFmtId="0" fontId="0" fillId="4" borderId="20" xfId="0" applyFont="1" applyFill="1" applyBorder="1" applyAlignment="1">
      <alignment horizontal="center"/>
    </xf>
    <xf numFmtId="0" fontId="0" fillId="3" borderId="37" xfId="0" applyNumberFormat="1" applyFont="1" applyFill="1" applyBorder="1" applyAlignment="1"/>
    <xf numFmtId="0" fontId="0" fillId="3" borderId="11" xfId="0" applyFont="1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181" fontId="0" fillId="0" borderId="24" xfId="0" applyNumberFormat="1" applyFont="1" applyFill="1" applyBorder="1" applyAlignment="1">
      <alignment horizontal="center"/>
    </xf>
    <xf numFmtId="181" fontId="0" fillId="0" borderId="28" xfId="0" applyNumberFormat="1" applyFont="1" applyFill="1" applyBorder="1" applyAlignment="1">
      <alignment horizontal="center"/>
    </xf>
    <xf numFmtId="181" fontId="0" fillId="0" borderId="34" xfId="0" applyNumberFormat="1" applyFont="1" applyFill="1" applyBorder="1" applyAlignment="1">
      <alignment horizontal="center"/>
    </xf>
    <xf numFmtId="0" fontId="0" fillId="4" borderId="11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0" fillId="4" borderId="12" xfId="0" applyFont="1" applyFill="1" applyBorder="1" applyAlignment="1">
      <alignment horizontal="center"/>
    </xf>
    <xf numFmtId="0" fontId="8" fillId="6" borderId="38" xfId="0" applyNumberFormat="1" applyFont="1" applyFill="1" applyBorder="1" applyAlignment="1">
      <alignment horizontal="center"/>
    </xf>
    <xf numFmtId="0" fontId="8" fillId="6" borderId="0" xfId="0" applyNumberFormat="1" applyFont="1" applyFill="1" applyBorder="1" applyAlignment="1">
      <alignment horizontal="center"/>
    </xf>
    <xf numFmtId="0" fontId="0" fillId="6" borderId="39" xfId="0" applyFont="1" applyFill="1" applyBorder="1" applyAlignment="1">
      <alignment horizontal="center"/>
    </xf>
    <xf numFmtId="0" fontId="0" fillId="4" borderId="0" xfId="0" applyFont="1" applyFill="1" applyBorder="1" applyAlignment="1">
      <alignment horizontal="center"/>
    </xf>
    <xf numFmtId="0" fontId="0" fillId="6" borderId="35" xfId="0" applyFont="1" applyFill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9" fillId="4" borderId="10" xfId="0" applyNumberFormat="1" applyFont="1" applyFill="1" applyBorder="1" applyAlignment="1">
      <alignment horizontal="left" vertical="center"/>
    </xf>
    <xf numFmtId="0" fontId="9" fillId="4" borderId="11" xfId="0" applyNumberFormat="1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 vertical="center" textRotation="180"/>
    </xf>
    <xf numFmtId="0" fontId="10" fillId="2" borderId="11" xfId="0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left"/>
    </xf>
    <xf numFmtId="0" fontId="11" fillId="0" borderId="11" xfId="0" applyFont="1" applyFill="1" applyBorder="1" applyAlignment="1">
      <alignment horizontal="left"/>
    </xf>
    <xf numFmtId="0" fontId="11" fillId="0" borderId="12" xfId="0" applyFont="1" applyFill="1" applyBorder="1" applyAlignment="1">
      <alignment horizontal="left"/>
    </xf>
    <xf numFmtId="0" fontId="12" fillId="2" borderId="10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center"/>
    </xf>
    <xf numFmtId="0" fontId="7" fillId="3" borderId="35" xfId="0" applyFont="1" applyFill="1" applyBorder="1" applyAlignment="1">
      <alignment horizontal="center"/>
    </xf>
    <xf numFmtId="0" fontId="3" fillId="3" borderId="40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6" fillId="7" borderId="41" xfId="0" applyFont="1" applyFill="1" applyBorder="1" applyAlignment="1">
      <alignment vertical="center"/>
    </xf>
    <xf numFmtId="0" fontId="6" fillId="7" borderId="42" xfId="0" applyFont="1" applyFill="1" applyBorder="1" applyAlignment="1">
      <alignment vertical="center"/>
    </xf>
    <xf numFmtId="0" fontId="3" fillId="3" borderId="28" xfId="0" applyFont="1" applyFill="1" applyBorder="1" applyAlignment="1">
      <alignment horizontal="center"/>
    </xf>
    <xf numFmtId="0" fontId="3" fillId="3" borderId="43" xfId="0" applyFont="1" applyFill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44" xfId="0" applyFont="1" applyBorder="1" applyAlignment="1">
      <alignment horizontal="center"/>
    </xf>
    <xf numFmtId="0" fontId="0" fillId="0" borderId="43" xfId="0" applyFont="1" applyBorder="1" applyAlignment="1">
      <alignment horizontal="center"/>
    </xf>
    <xf numFmtId="0" fontId="0" fillId="5" borderId="12" xfId="0" applyFill="1" applyBorder="1"/>
    <xf numFmtId="0" fontId="0" fillId="3" borderId="28" xfId="0" applyFont="1" applyFill="1" applyBorder="1" applyAlignment="1">
      <alignment horizontal="center"/>
    </xf>
    <xf numFmtId="0" fontId="0" fillId="3" borderId="45" xfId="0" applyFont="1" applyFill="1" applyBorder="1" applyAlignment="1">
      <alignment horizontal="center"/>
    </xf>
    <xf numFmtId="0" fontId="8" fillId="3" borderId="43" xfId="0" applyFont="1" applyFill="1" applyBorder="1" applyAlignment="1">
      <alignment horizontal="center" vertical="center"/>
    </xf>
    <xf numFmtId="0" fontId="0" fillId="0" borderId="46" xfId="0" applyFont="1" applyBorder="1" applyAlignment="1">
      <alignment horizontal="center"/>
    </xf>
    <xf numFmtId="0" fontId="0" fillId="0" borderId="34" xfId="0" applyFont="1" applyBorder="1" applyAlignment="1">
      <alignment horizontal="center"/>
    </xf>
    <xf numFmtId="0" fontId="0" fillId="0" borderId="47" xfId="0" applyFont="1" applyBorder="1" applyAlignment="1">
      <alignment horizontal="center"/>
    </xf>
    <xf numFmtId="0" fontId="13" fillId="3" borderId="48" xfId="0" applyFont="1" applyFill="1" applyBorder="1" applyAlignment="1">
      <alignment vertical="center"/>
    </xf>
    <xf numFmtId="0" fontId="13" fillId="3" borderId="49" xfId="0" applyFont="1" applyFill="1" applyBorder="1" applyAlignment="1">
      <alignment vertical="center"/>
    </xf>
    <xf numFmtId="0" fontId="0" fillId="3" borderId="17" xfId="0" applyFont="1" applyFill="1" applyBorder="1" applyAlignment="1">
      <alignment horizontal="center"/>
    </xf>
    <xf numFmtId="0" fontId="13" fillId="6" borderId="50" xfId="0" applyFont="1" applyFill="1" applyBorder="1" applyAlignment="1">
      <alignment vertical="center"/>
    </xf>
    <xf numFmtId="0" fontId="13" fillId="6" borderId="33" xfId="0" applyFont="1" applyFill="1" applyBorder="1" applyAlignment="1">
      <alignment vertical="center"/>
    </xf>
    <xf numFmtId="0" fontId="13" fillId="6" borderId="19" xfId="0" applyFont="1" applyFill="1" applyBorder="1" applyAlignment="1">
      <alignment vertical="center"/>
    </xf>
    <xf numFmtId="0" fontId="13" fillId="3" borderId="50" xfId="0" applyFont="1" applyFill="1" applyBorder="1" applyAlignment="1">
      <alignment vertical="center"/>
    </xf>
    <xf numFmtId="0" fontId="9" fillId="4" borderId="12" xfId="0" applyNumberFormat="1" applyFont="1" applyFill="1" applyBorder="1" applyAlignment="1">
      <alignment horizontal="left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51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0" fillId="2" borderId="52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3" fillId="0" borderId="53" xfId="0" applyFont="1" applyBorder="1" applyAlignment="1">
      <alignment horizontal="center"/>
    </xf>
    <xf numFmtId="0" fontId="0" fillId="0" borderId="54" xfId="0" applyFont="1" applyBorder="1" applyAlignment="1">
      <alignment horizontal="center"/>
    </xf>
    <xf numFmtId="181" fontId="14" fillId="0" borderId="0" xfId="0" applyNumberFormat="1" applyFont="1"/>
    <xf numFmtId="0" fontId="14" fillId="0" borderId="0" xfId="0" applyFont="1"/>
    <xf numFmtId="0" fontId="0" fillId="0" borderId="55" xfId="0" applyFont="1" applyBorder="1" applyAlignment="1">
      <alignment horizontal="center"/>
    </xf>
    <xf numFmtId="0" fontId="0" fillId="0" borderId="56" xfId="0" applyFont="1" applyBorder="1" applyAlignment="1">
      <alignment horizontal="center"/>
    </xf>
    <xf numFmtId="0" fontId="12" fillId="2" borderId="12" xfId="0" applyFont="1" applyFill="1" applyBorder="1" applyAlignment="1">
      <alignment horizontal="center"/>
    </xf>
    <xf numFmtId="176" fontId="11" fillId="0" borderId="10" xfId="0" applyNumberFormat="1" applyFont="1" applyFill="1" applyBorder="1" applyAlignment="1">
      <alignment horizontal="left"/>
    </xf>
    <xf numFmtId="176" fontId="11" fillId="0" borderId="11" xfId="0" applyNumberFormat="1" applyFont="1" applyFill="1" applyBorder="1" applyAlignment="1">
      <alignment horizontal="left"/>
    </xf>
    <xf numFmtId="176" fontId="11" fillId="0" borderId="12" xfId="0" applyNumberFormat="1" applyFont="1" applyFill="1" applyBorder="1" applyAlignment="1">
      <alignment horizontal="left"/>
    </xf>
    <xf numFmtId="0" fontId="0" fillId="0" borderId="35" xfId="0" applyFont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57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/>
    </xf>
    <xf numFmtId="0" fontId="3" fillId="3" borderId="58" xfId="0" applyFont="1" applyFill="1" applyBorder="1" applyAlignment="1">
      <alignment horizontal="center"/>
    </xf>
    <xf numFmtId="0" fontId="3" fillId="3" borderId="59" xfId="0" applyFont="1" applyFill="1" applyBorder="1" applyAlignment="1">
      <alignment horizontal="center" vertical="center"/>
    </xf>
    <xf numFmtId="0" fontId="0" fillId="0" borderId="43" xfId="0" applyFont="1" applyFill="1" applyBorder="1" applyAlignment="1">
      <alignment horizontal="center"/>
    </xf>
    <xf numFmtId="0" fontId="0" fillId="0" borderId="45" xfId="0" applyFont="1" applyFill="1" applyBorder="1" applyAlignment="1">
      <alignment horizontal="center"/>
    </xf>
    <xf numFmtId="0" fontId="0" fillId="0" borderId="23" xfId="0" applyBorder="1"/>
    <xf numFmtId="0" fontId="0" fillId="0" borderId="27" xfId="0" applyBorder="1"/>
    <xf numFmtId="181" fontId="14" fillId="0" borderId="60" xfId="0" applyNumberFormat="1" applyFont="1" applyFill="1" applyBorder="1" applyAlignment="1">
      <alignment horizontal="center"/>
    </xf>
    <xf numFmtId="181" fontId="14" fillId="0" borderId="61" xfId="0" applyNumberFormat="1" applyFont="1" applyFill="1" applyBorder="1" applyAlignment="1">
      <alignment horizontal="center"/>
    </xf>
    <xf numFmtId="0" fontId="14" fillId="0" borderId="61" xfId="0" applyFont="1" applyFill="1" applyBorder="1" applyAlignment="1">
      <alignment horizontal="center"/>
    </xf>
    <xf numFmtId="0" fontId="14" fillId="0" borderId="60" xfId="0" applyFont="1" applyFill="1" applyBorder="1" applyAlignment="1">
      <alignment horizontal="center"/>
    </xf>
    <xf numFmtId="0" fontId="0" fillId="0" borderId="32" xfId="0" applyBorder="1"/>
    <xf numFmtId="0" fontId="15" fillId="0" borderId="60" xfId="0" applyFont="1" applyFill="1" applyBorder="1" applyAlignment="1">
      <alignment horizontal="center"/>
    </xf>
    <xf numFmtId="0" fontId="15" fillId="0" borderId="61" xfId="0" applyFont="1" applyFill="1" applyBorder="1" applyAlignment="1">
      <alignment horizontal="center"/>
    </xf>
    <xf numFmtId="0" fontId="8" fillId="4" borderId="14" xfId="0" applyFont="1" applyFill="1" applyBorder="1" applyAlignment="1">
      <alignment horizontal="left" vertical="center"/>
    </xf>
    <xf numFmtId="0" fontId="15" fillId="0" borderId="62" xfId="0" applyFont="1" applyFill="1" applyBorder="1" applyAlignment="1">
      <alignment horizontal="center"/>
    </xf>
    <xf numFmtId="0" fontId="0" fillId="0" borderId="29" xfId="0" applyFont="1" applyFill="1" applyBorder="1" applyAlignment="1">
      <alignment horizontal="center"/>
    </xf>
    <xf numFmtId="0" fontId="0" fillId="0" borderId="63" xfId="0" applyFont="1" applyFill="1" applyBorder="1" applyAlignment="1">
      <alignment horizontal="center"/>
    </xf>
    <xf numFmtId="0" fontId="0" fillId="0" borderId="62" xfId="0" applyFont="1" applyFill="1" applyBorder="1" applyAlignment="1">
      <alignment horizontal="center"/>
    </xf>
    <xf numFmtId="0" fontId="0" fillId="0" borderId="61" xfId="0" applyFont="1" applyFill="1" applyBorder="1" applyAlignment="1">
      <alignment horizontal="center"/>
    </xf>
    <xf numFmtId="0" fontId="8" fillId="4" borderId="63" xfId="0" applyFont="1" applyFill="1" applyBorder="1" applyAlignment="1">
      <alignment horizontal="left" vertical="center"/>
    </xf>
    <xf numFmtId="0" fontId="0" fillId="0" borderId="47" xfId="0" applyFont="1" applyFill="1" applyBorder="1" applyAlignment="1">
      <alignment horizontal="center"/>
    </xf>
    <xf numFmtId="0" fontId="0" fillId="0" borderId="58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8" fillId="3" borderId="64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vertical="center"/>
    </xf>
    <xf numFmtId="0" fontId="13" fillId="3" borderId="34" xfId="0" applyFont="1" applyFill="1" applyBorder="1" applyAlignment="1">
      <alignment vertical="center"/>
    </xf>
    <xf numFmtId="0" fontId="13" fillId="0" borderId="17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0" xfId="0" applyFont="1"/>
    <xf numFmtId="0" fontId="6" fillId="0" borderId="0" xfId="0" applyFont="1" applyFill="1" applyBorder="1" applyAlignment="1"/>
    <xf numFmtId="0" fontId="0" fillId="0" borderId="65" xfId="0" applyFont="1" applyFill="1" applyBorder="1" applyAlignment="1">
      <alignment horizontal="center"/>
    </xf>
    <xf numFmtId="0" fontId="3" fillId="0" borderId="23" xfId="0" applyNumberFormat="1" applyFont="1" applyBorder="1" applyAlignment="1" quotePrefix="1">
      <alignment horizontal="center"/>
    </xf>
    <xf numFmtId="0" fontId="3" fillId="0" borderId="27" xfId="0" applyNumberFormat="1" applyFont="1" applyBorder="1" applyAlignment="1" quotePrefix="1">
      <alignment horizontal="center"/>
    </xf>
    <xf numFmtId="0" fontId="3" fillId="0" borderId="32" xfId="0" applyNumberFormat="1" applyFont="1" applyBorder="1" applyAlignment="1" quotePrefix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/>
  <colors>
    <mruColors>
      <color rgb="0020EC2A"/>
      <color rgb="00FF33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53172873945069"/>
          <c:y val="0.179545358554319"/>
          <c:w val="0.930440127396843"/>
          <c:h val="0.803997043473014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bg1"/>
                </a:gs>
                <a:gs pos="50000">
                  <a:srgbClr val="4F81BD">
                    <a:tint val="44500"/>
                    <a:satMod val="160000"/>
                  </a:srgbClr>
                </a:gs>
                <a:gs pos="100000">
                  <a:srgbClr val="4F81BD">
                    <a:tint val="23500"/>
                    <a:satMod val="160000"/>
                  </a:srgbClr>
                </a:gs>
              </a:gsLst>
              <a:lin ang="5400000" scaled="0"/>
            </a:gradFill>
            <a:ln w="12700">
              <a:solidFill>
                <a:schemeClr val="tx1"/>
              </a:solidFill>
              <a:prstDash val="solid"/>
            </a:ln>
          </c:spPr>
          <c:invertIfNegative val="0"/>
          <c:dLbls>
            <c:delete val="1"/>
          </c:dLbls>
          <c:val>
            <c:numRef>
              <c:f>HourlyCount!$B$16:$B$23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5874944"/>
        <c:axId val="105876864"/>
      </c:barChart>
      <c:scatterChart>
        <c:scatterStyle val="smooth"/>
        <c:varyColors val="0"/>
        <c:ser>
          <c:idx val="1"/>
          <c:order val="1"/>
          <c:tx>
            <c:strRef>
              <c:f>"A"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HourlyCount!$AT$4:$AV$4</c:f>
              <c:numCache>
                <c:formatCode>0;[Red]0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HourlyCount!$AT$5:$AV$5</c:f>
              <c:numCache>
                <c:formatCode>General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0.5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"B"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HourlyCount!$AT$6:$AV$6</c:f>
              <c:numCache>
                <c:formatCode>0;[Red]0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HourlyCount!$AT$7:$AV$7</c:f>
              <c:numCache>
                <c:formatCode>General</c:formatCode>
                <c:ptCount val="3"/>
                <c:pt idx="0">
                  <c:v>0.5</c:v>
                </c:pt>
                <c:pt idx="1">
                  <c:v>1</c:v>
                </c:pt>
                <c:pt idx="2">
                  <c:v>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"C"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HourlyCount!$AT$8:$AV$8</c:f>
              <c:numCache>
                <c:formatCode>0;[Red]0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HourlyCount!$AT$9:$AV$9</c:f>
              <c:numCache>
                <c:formatCode>General</c:formatCode>
                <c:ptCount val="3"/>
                <c:pt idx="0">
                  <c:v>1</c:v>
                </c:pt>
                <c:pt idx="1">
                  <c:v>1.5</c:v>
                </c:pt>
                <c:pt idx="2">
                  <c:v>1.5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"D"</c:f>
              <c:strCache>
                <c:ptCount val="1"/>
                <c:pt idx="0">
                  <c:v>D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HourlyCount!$AT$10:$AV$10</c:f>
              <c:numCache>
                <c:formatCode>0;[Red]0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HourlyCount!$AT$11:$AV$11</c:f>
              <c:numCache>
                <c:formatCode>General</c:formatCode>
                <c:ptCount val="3"/>
                <c:pt idx="0">
                  <c:v>1.5</c:v>
                </c:pt>
                <c:pt idx="1">
                  <c:v>2</c:v>
                </c:pt>
                <c:pt idx="2">
                  <c:v>2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"E"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HourlyCount!$AT$14:$AV$14</c:f>
              <c:numCache>
                <c:formatCode>0;[Red]0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HourlyCount!$AT$15:$AV$15</c:f>
              <c:numCache>
                <c:formatCode>General</c:formatCode>
                <c:ptCount val="3"/>
                <c:pt idx="0">
                  <c:v>2</c:v>
                </c:pt>
                <c:pt idx="1">
                  <c:v>2.5</c:v>
                </c:pt>
                <c:pt idx="2">
                  <c:v>2.5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"F"</c:f>
              <c:strCache>
                <c:ptCount val="1"/>
                <c:pt idx="0">
                  <c:v>F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HourlyCount!$AT$16:$AV$16</c:f>
              <c:numCache>
                <c:formatCode>0;[Red]0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HourlyCount!$AT$17:$AV$17</c:f>
              <c:numCache>
                <c:formatCode>General</c:formatCode>
                <c:ptCount val="3"/>
                <c:pt idx="0">
                  <c:v>2.5</c:v>
                </c:pt>
                <c:pt idx="1">
                  <c:v>3</c:v>
                </c:pt>
                <c:pt idx="2">
                  <c:v>3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"G"</c:f>
              <c:strCache>
                <c:ptCount val="1"/>
                <c:pt idx="0">
                  <c:v>G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HourlyCount!$AT$18:$AV$18</c:f>
              <c:numCache>
                <c:formatCode>0;[Red]0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HourlyCount!$AT$19:$AV$19</c:f>
              <c:numCache>
                <c:formatCode>General</c:formatCode>
                <c:ptCount val="3"/>
                <c:pt idx="0">
                  <c:v>3</c:v>
                </c:pt>
                <c:pt idx="1">
                  <c:v>3.5</c:v>
                </c:pt>
                <c:pt idx="2">
                  <c:v>3.5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"H"</c:f>
              <c:strCache>
                <c:ptCount val="1"/>
                <c:pt idx="0">
                  <c:v>H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HourlyCount!$AT$20:$AV$20</c:f>
              <c:numCache>
                <c:formatCode>0;[Red]0</c:formatCode>
                <c:ptCount val="3"/>
                <c:pt idx="0">
                  <c:v>0</c:v>
                </c:pt>
                <c:pt idx="1">
                  <c:v>0</c:v>
                </c:pt>
                <c:pt idx="2" c:formatCode="General">
                  <c:v>0</c:v>
                </c:pt>
              </c:numCache>
            </c:numRef>
          </c:xVal>
          <c:yVal>
            <c:numRef>
              <c:f>HourlyCount!$AT$21:$AV$21</c:f>
              <c:numCache>
                <c:formatCode>General</c:formatCode>
                <c:ptCount val="3"/>
                <c:pt idx="0">
                  <c:v>3.5</c:v>
                </c:pt>
                <c:pt idx="1">
                  <c:v>4</c:v>
                </c:pt>
                <c:pt idx="2">
                  <c:v>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404160"/>
        <c:axId val="124229120"/>
      </c:scatterChart>
      <c:catAx>
        <c:axId val="105874944"/>
        <c:scaling>
          <c:orientation val="maxMin"/>
        </c:scaling>
        <c:delete val="1"/>
        <c:axPos val="l"/>
        <c:majorGridlines>
          <c:spPr>
            <a:ln w="3175" cap="flat" cmpd="sng" algn="ctr">
              <a:solidFill>
                <a:srgbClr val="C0C0C0"/>
              </a:solidFill>
              <a:prstDash val="solid"/>
              <a:round/>
            </a:ln>
          </c:spPr>
        </c:majorGridlines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rgbClr val="333333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05876864"/>
        <c:crosses val="autoZero"/>
        <c:auto val="1"/>
        <c:lblAlgn val="ctr"/>
        <c:lblOffset val="100"/>
        <c:noMultiLvlLbl val="0"/>
      </c:catAx>
      <c:valAx>
        <c:axId val="105876864"/>
        <c:scaling>
          <c:orientation val="minMax"/>
          <c:min val="0"/>
        </c:scaling>
        <c:delete val="0"/>
        <c:axPos val="t"/>
        <c:numFmt formatCode="0" sourceLinked="0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en-AU" sz="825" b="1" i="0" u="none" strike="noStrike" kern="1200" baseline="0">
                <a:solidFill>
                  <a:srgbClr val="333333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05874944"/>
        <c:crosses val="autoZero"/>
        <c:crossBetween val="between"/>
        <c:minorUnit val="2"/>
      </c:valAx>
      <c:valAx>
        <c:axId val="115404160"/>
        <c:scaling>
          <c:orientation val="minMax"/>
        </c:scaling>
        <c:delete val="1"/>
        <c:axPos val="b"/>
        <c:numFmt formatCode="0;[Red]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rgbClr val="333333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24229120"/>
        <c:crosses val="autoZero"/>
        <c:crossBetween val="midCat"/>
      </c:valAx>
      <c:valAx>
        <c:axId val="124229120"/>
        <c:scaling>
          <c:orientation val="minMax"/>
          <c:max val="4"/>
          <c:min val="0"/>
        </c:scaling>
        <c:delete val="1"/>
        <c:axPos val="r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rgbClr val="333333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15404160"/>
        <c:crosses val="max"/>
        <c:crossBetween val="midCat"/>
        <c:majorUnit val="0.5"/>
        <c:minorUnit val="0.1"/>
      </c:valAx>
      <c:spPr>
        <a:solidFill>
          <a:sysClr val="window" lastClr="FFFFFF"/>
        </a:solidFill>
        <a:ln w="25400">
          <a:noFill/>
        </a:ln>
      </c:spPr>
    </c:plotArea>
    <c:plotVisOnly val="0"/>
    <c:dispBlanksAs val="gap"/>
    <c:showDLblsOverMax val="0"/>
  </c:chart>
  <c:spPr>
    <a:solidFill>
      <a:srgbClr val="C0C0C0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800" b="0" i="0" u="none" strike="noStrike" baseline="0">
          <a:solidFill>
            <a:srgbClr val="333333"/>
          </a:solidFill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53172873945069"/>
          <c:y val="0.135803014897662"/>
          <c:w val="0.930440127396843"/>
          <c:h val="0.847740032391465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bg1"/>
                </a:gs>
                <a:gs pos="50000">
                  <a:srgbClr val="4F81BD">
                    <a:tint val="44500"/>
                    <a:satMod val="160000"/>
                  </a:srgbClr>
                </a:gs>
                <a:gs pos="100000">
                  <a:srgbClr val="4F81BD">
                    <a:tint val="23500"/>
                    <a:satMod val="160000"/>
                  </a:srgbClr>
                </a:gs>
              </a:gsLst>
              <a:lin ang="5400000" scaled="0"/>
            </a:gradFill>
            <a:ln w="12700">
              <a:solidFill>
                <a:schemeClr val="tx1"/>
              </a:solidFill>
              <a:prstDash val="solid"/>
            </a:ln>
          </c:spPr>
          <c:invertIfNegative val="0"/>
          <c:dLbls>
            <c:delete val="1"/>
          </c:dLbls>
          <c:val>
            <c:numRef>
              <c:f>HourlyCount!$B$25:$B$32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26164352"/>
        <c:axId val="126170624"/>
      </c:barChart>
      <c:scatterChart>
        <c:scatterStyle val="smooth"/>
        <c:varyColors val="0"/>
        <c:ser>
          <c:idx val="1"/>
          <c:order val="1"/>
          <c:tx>
            <c:strRef>
              <c:f>"A"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HourlyCount!$AW$4:$AY$4</c:f>
              <c:numCache>
                <c:formatCode>0;[Red]0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HourlyCount!$AW$5:$AY$5</c:f>
              <c:numCache>
                <c:formatCode>General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0.5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"B"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HourlyCount!$AW$6:$AY$6</c:f>
              <c:numCache>
                <c:formatCode>0;[Red]0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HourlyCount!$AW$7:$AY$7</c:f>
              <c:numCache>
                <c:formatCode>General</c:formatCode>
                <c:ptCount val="3"/>
                <c:pt idx="0">
                  <c:v>0.5</c:v>
                </c:pt>
                <c:pt idx="1">
                  <c:v>1</c:v>
                </c:pt>
                <c:pt idx="2">
                  <c:v>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"C"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HourlyCount!$AW$8:$AY$8</c:f>
              <c:numCache>
                <c:formatCode>0;[Red]0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HourlyCount!$AW$9:$AY$9</c:f>
              <c:numCache>
                <c:formatCode>General</c:formatCode>
                <c:ptCount val="3"/>
                <c:pt idx="0">
                  <c:v>1</c:v>
                </c:pt>
                <c:pt idx="1">
                  <c:v>1.5</c:v>
                </c:pt>
                <c:pt idx="2">
                  <c:v>1.5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"D"</c:f>
              <c:strCache>
                <c:ptCount val="1"/>
                <c:pt idx="0">
                  <c:v>D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HourlyCount!$AW$10:$AY$10</c:f>
              <c:numCache>
                <c:formatCode>0;[Red]0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HourlyCount!$AW$11:$AY$11</c:f>
              <c:numCache>
                <c:formatCode>General</c:formatCode>
                <c:ptCount val="3"/>
                <c:pt idx="0">
                  <c:v>1.5</c:v>
                </c:pt>
                <c:pt idx="1">
                  <c:v>2</c:v>
                </c:pt>
                <c:pt idx="2">
                  <c:v>2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"E"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HourlyCount!$AW$14:$AY$14</c:f>
              <c:numCache>
                <c:formatCode>0;[Red]0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HourlyCount!$AW$15:$AY$15</c:f>
              <c:numCache>
                <c:formatCode>General</c:formatCode>
                <c:ptCount val="3"/>
                <c:pt idx="0">
                  <c:v>2</c:v>
                </c:pt>
                <c:pt idx="1">
                  <c:v>2.5</c:v>
                </c:pt>
                <c:pt idx="2">
                  <c:v>2.5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"F"</c:f>
              <c:strCache>
                <c:ptCount val="1"/>
                <c:pt idx="0">
                  <c:v>F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HourlyCount!$AW$16:$AY$16</c:f>
              <c:numCache>
                <c:formatCode>0;[Red]0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HourlyCount!$AW$17:$AY$17</c:f>
              <c:numCache>
                <c:formatCode>General</c:formatCode>
                <c:ptCount val="3"/>
                <c:pt idx="0">
                  <c:v>2.5</c:v>
                </c:pt>
                <c:pt idx="1">
                  <c:v>3</c:v>
                </c:pt>
                <c:pt idx="2">
                  <c:v>3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"G"</c:f>
              <c:strCache>
                <c:ptCount val="1"/>
                <c:pt idx="0">
                  <c:v>G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HourlyCount!$AW$18:$AY$18</c:f>
              <c:numCache>
                <c:formatCode>0;[Red]0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HourlyCount!$AW$19:$AY$19</c:f>
              <c:numCache>
                <c:formatCode>General</c:formatCode>
                <c:ptCount val="3"/>
                <c:pt idx="0">
                  <c:v>3</c:v>
                </c:pt>
                <c:pt idx="1">
                  <c:v>3.5</c:v>
                </c:pt>
                <c:pt idx="2">
                  <c:v>3.5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"H"</c:f>
              <c:strCache>
                <c:ptCount val="1"/>
                <c:pt idx="0">
                  <c:v>H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HourlyCount!$AW$20:$AY$20</c:f>
              <c:numCache>
                <c:formatCode>0;[Red]0</c:formatCode>
                <c:ptCount val="3"/>
                <c:pt idx="0">
                  <c:v>0</c:v>
                </c:pt>
                <c:pt idx="1">
                  <c:v>0</c:v>
                </c:pt>
                <c:pt idx="2" c:formatCode="General">
                  <c:v>0</c:v>
                </c:pt>
              </c:numCache>
            </c:numRef>
          </c:xVal>
          <c:yVal>
            <c:numRef>
              <c:f>HourlyCount!$AW$21:$AY$21</c:f>
              <c:numCache>
                <c:formatCode>General</c:formatCode>
                <c:ptCount val="3"/>
                <c:pt idx="0">
                  <c:v>3.5</c:v>
                </c:pt>
                <c:pt idx="1">
                  <c:v>4</c:v>
                </c:pt>
                <c:pt idx="2">
                  <c:v>4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dLbls>
            <c:delete val="1"/>
          </c:dLbls>
          <c:yVal>
            <c:numRef>
              <c:f>HourlyCount!$B$25:$B$32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</c:ser>
        <c:ser>
          <c:idx val="10"/>
          <c:order val="10"/>
          <c:marker>
            <c:symbol val="none"/>
          </c:marker>
          <c:dLbls>
            <c:delete val="1"/>
          </c:dLbls>
          <c:yVal>
            <c:numRef>
              <c:f>HourlyCount!$B$25:$B$32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193024"/>
        <c:axId val="126199296"/>
      </c:scatterChart>
      <c:catAx>
        <c:axId val="126164352"/>
        <c:scaling>
          <c:orientation val="maxMin"/>
        </c:scaling>
        <c:delete val="1"/>
        <c:axPos val="l"/>
        <c:majorGridlines>
          <c:spPr>
            <a:ln w="3175" cap="flat" cmpd="sng" algn="ctr">
              <a:solidFill>
                <a:srgbClr val="C0C0C0"/>
              </a:solidFill>
              <a:prstDash val="solid"/>
              <a:round/>
            </a:ln>
          </c:spPr>
        </c:majorGridlines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rgbClr val="333333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26170624"/>
        <c:crosses val="autoZero"/>
        <c:auto val="1"/>
        <c:lblAlgn val="ctr"/>
        <c:lblOffset val="100"/>
        <c:noMultiLvlLbl val="0"/>
      </c:catAx>
      <c:valAx>
        <c:axId val="126170624"/>
        <c:scaling>
          <c:orientation val="minMax"/>
          <c:min val="0"/>
        </c:scaling>
        <c:delete val="0"/>
        <c:axPos val="t"/>
        <c:numFmt formatCode="0" sourceLinked="0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en-AU" sz="825" b="1" i="0" u="none" strike="noStrike" kern="1200" baseline="0">
                <a:solidFill>
                  <a:srgbClr val="333333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26164352"/>
        <c:crosses val="autoZero"/>
        <c:crossBetween val="between"/>
        <c:minorUnit val="2"/>
      </c:valAx>
      <c:valAx>
        <c:axId val="126193024"/>
        <c:scaling>
          <c:orientation val="minMax"/>
        </c:scaling>
        <c:delete val="1"/>
        <c:axPos val="b"/>
        <c:numFmt formatCode="0;[Red]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rgbClr val="333333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26199296"/>
        <c:crosses val="autoZero"/>
        <c:crossBetween val="midCat"/>
      </c:valAx>
      <c:valAx>
        <c:axId val="126199296"/>
        <c:scaling>
          <c:orientation val="minMax"/>
          <c:max val="4"/>
          <c:min val="0"/>
        </c:scaling>
        <c:delete val="1"/>
        <c:axPos val="r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rgbClr val="333333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26193024"/>
        <c:crosses val="max"/>
        <c:crossBetween val="midCat"/>
        <c:majorUnit val="0.5"/>
        <c:minorUnit val="0.1"/>
      </c:valAx>
      <c:spPr>
        <a:solidFill>
          <a:sysClr val="window" lastClr="FFFFFF"/>
        </a:solidFill>
        <a:ln w="25400">
          <a:noFill/>
        </a:ln>
      </c:spPr>
    </c:plotArea>
    <c:plotVisOnly val="0"/>
    <c:dispBlanksAs val="gap"/>
    <c:showDLblsOverMax val="0"/>
  </c:chart>
  <c:spPr>
    <a:solidFill>
      <a:srgbClr val="C0C0C0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800" b="0" i="0" u="none" strike="noStrike" baseline="0">
          <a:solidFill>
            <a:srgbClr val="333333"/>
          </a:solidFill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408163483937803"/>
          <c:y val="0.104895183556601"/>
          <c:w val="0.855670103092784"/>
          <c:h val="0.74123925998611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bg1"/>
                </a:gs>
                <a:gs pos="50000">
                  <a:srgbClr val="4F81BD">
                    <a:tint val="44500"/>
                    <a:satMod val="160000"/>
                  </a:srgbClr>
                </a:gs>
                <a:gs pos="100000">
                  <a:srgbClr val="4F81BD">
                    <a:tint val="23500"/>
                    <a:satMod val="160000"/>
                  </a:srgbClr>
                </a:gs>
              </a:gsLst>
              <a:lin ang="5400000" scaled="0"/>
            </a:gradFill>
            <a:ln w="12700">
              <a:solidFill>
                <a:schemeClr val="tx1"/>
              </a:solidFill>
              <a:prstDash val="solid"/>
            </a:ln>
          </c:spPr>
          <c:invertIfNegative val="0"/>
          <c:dLbls>
            <c:delete val="1"/>
          </c:dLbls>
          <c:val>
            <c:numRef>
              <c:f>HourlyCount!$B$34:$B$41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95173760"/>
        <c:axId val="195175552"/>
      </c:barChart>
      <c:scatterChart>
        <c:scatterStyle val="smooth"/>
        <c:varyColors val="0"/>
        <c:ser>
          <c:idx val="1"/>
          <c:order val="1"/>
          <c:tx>
            <c:strRef>
              <c:f>"A"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HourlyCount!$AZ$4:$BB$4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HourlyCount!$AZ$5:$BB$5</c:f>
              <c:numCache>
                <c:formatCode>General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0.5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"B"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HourlyCount!$AZ$6:$BB$6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HourlyCount!$AZ$7:$BB$7</c:f>
              <c:numCache>
                <c:formatCode>General</c:formatCode>
                <c:ptCount val="3"/>
                <c:pt idx="0">
                  <c:v>0.5</c:v>
                </c:pt>
                <c:pt idx="1">
                  <c:v>1</c:v>
                </c:pt>
                <c:pt idx="2">
                  <c:v>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"C"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HourlyCount!$AZ$8:$BB$8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HourlyCount!$AZ$9:$BB$9</c:f>
              <c:numCache>
                <c:formatCode>General</c:formatCode>
                <c:ptCount val="3"/>
                <c:pt idx="0">
                  <c:v>1</c:v>
                </c:pt>
                <c:pt idx="1">
                  <c:v>1.5</c:v>
                </c:pt>
                <c:pt idx="2">
                  <c:v>1.5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"D"</c:f>
              <c:strCache>
                <c:ptCount val="1"/>
                <c:pt idx="0">
                  <c:v>D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HourlyCount!$AZ$10:$BB$10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HourlyCount!$AZ$11:$BB$11</c:f>
              <c:numCache>
                <c:formatCode>General</c:formatCode>
                <c:ptCount val="3"/>
                <c:pt idx="0">
                  <c:v>1.5</c:v>
                </c:pt>
                <c:pt idx="1">
                  <c:v>2</c:v>
                </c:pt>
                <c:pt idx="2">
                  <c:v>2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"E"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HourlyCount!$AZ$14:$BB$14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HourlyCount!$AZ$15:$BB$15</c:f>
              <c:numCache>
                <c:formatCode>General</c:formatCode>
                <c:ptCount val="3"/>
                <c:pt idx="0">
                  <c:v>2</c:v>
                </c:pt>
                <c:pt idx="1">
                  <c:v>2.5</c:v>
                </c:pt>
                <c:pt idx="2">
                  <c:v>2.5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"F"</c:f>
              <c:strCache>
                <c:ptCount val="1"/>
                <c:pt idx="0">
                  <c:v>F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HourlyCount!$AZ$16:$BB$16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HourlyCount!$AZ$17:$BB$17</c:f>
              <c:numCache>
                <c:formatCode>General</c:formatCode>
                <c:ptCount val="3"/>
                <c:pt idx="0">
                  <c:v>2.5</c:v>
                </c:pt>
                <c:pt idx="1">
                  <c:v>3</c:v>
                </c:pt>
                <c:pt idx="2">
                  <c:v>3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"G"</c:f>
              <c:strCache>
                <c:ptCount val="1"/>
                <c:pt idx="0">
                  <c:v>G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xVal>
            <c:numRef>
              <c:f>HourlyCount!$AZ$18:$BB$18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HourlyCount!$AZ$19:$BB$19</c:f>
              <c:numCache>
                <c:formatCode>General</c:formatCode>
                <c:ptCount val="3"/>
                <c:pt idx="0">
                  <c:v>3</c:v>
                </c:pt>
                <c:pt idx="1">
                  <c:v>3.5</c:v>
                </c:pt>
                <c:pt idx="2">
                  <c:v>3.5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"H"</c:f>
              <c:strCache>
                <c:ptCount val="1"/>
                <c:pt idx="0">
                  <c:v>H</c:v>
                </c:pt>
              </c:strCache>
            </c:strRef>
          </c:tx>
          <c:spPr>
            <a:ln w="28575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dash"/>
            <c:size val="5"/>
          </c:marker>
          <c:dLbls>
            <c:delete val="1"/>
          </c:dLbls>
          <c:xVal>
            <c:numRef>
              <c:f>HourlyCount!$AZ$20:$BB$20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HourlyCount!$AZ$21:$BB$21</c:f>
              <c:numCache>
                <c:formatCode>General</c:formatCode>
                <c:ptCount val="3"/>
                <c:pt idx="0">
                  <c:v>3.5</c:v>
                </c:pt>
                <c:pt idx="1">
                  <c:v>4</c:v>
                </c:pt>
                <c:pt idx="2">
                  <c:v>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95648"/>
        <c:axId val="195197952"/>
      </c:scatterChart>
      <c:catAx>
        <c:axId val="195173760"/>
        <c:scaling>
          <c:orientation val="maxMin"/>
        </c:scaling>
        <c:delete val="1"/>
        <c:axPos val="l"/>
        <c:majorGridlines>
          <c:spPr>
            <a:ln w="3175" cap="flat" cmpd="sng" algn="ctr">
              <a:solidFill>
                <a:srgbClr val="C0C0C0"/>
              </a:solidFill>
              <a:prstDash val="solid"/>
              <a:round/>
            </a:ln>
          </c:spPr>
        </c:majorGridlines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rgbClr val="333333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95175552"/>
        <c:crosses val="autoZero"/>
        <c:auto val="1"/>
        <c:lblAlgn val="ctr"/>
        <c:lblOffset val="100"/>
        <c:noMultiLvlLbl val="0"/>
      </c:catAx>
      <c:valAx>
        <c:axId val="195175552"/>
        <c:scaling>
          <c:orientation val="minMax"/>
          <c:min val="0"/>
        </c:scaling>
        <c:delete val="0"/>
        <c:axPos val="t"/>
        <c:numFmt formatCode="0" sourceLinked="0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en-AU" sz="825" b="1" i="0" u="none" strike="noStrike" kern="1200" baseline="0">
                <a:solidFill>
                  <a:srgbClr val="333333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95173760"/>
        <c:crosses val="autoZero"/>
        <c:crossBetween val="between"/>
        <c:minorUnit val="2"/>
      </c:valAx>
      <c:valAx>
        <c:axId val="1951956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rgbClr val="333333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95197952"/>
        <c:crosses val="autoZero"/>
        <c:crossBetween val="midCat"/>
      </c:valAx>
      <c:valAx>
        <c:axId val="195197952"/>
        <c:scaling>
          <c:orientation val="minMax"/>
          <c:max val="4"/>
          <c:min val="0"/>
        </c:scaling>
        <c:delete val="1"/>
        <c:axPos val="r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rgbClr val="333333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</a:p>
        </c:txPr>
        <c:crossAx val="195195648"/>
        <c:crosses val="max"/>
        <c:crossBetween val="midCat"/>
        <c:majorUnit val="0.5"/>
        <c:minorUnit val="0.1"/>
      </c:valAx>
      <c:spPr>
        <a:solidFill>
          <a:sysClr val="window" lastClr="FFFFFF"/>
        </a:solidFill>
        <a:ln w="25400">
          <a:noFill/>
        </a:ln>
      </c:spPr>
    </c:plotArea>
    <c:plotVisOnly val="0"/>
    <c:dispBlanksAs val="gap"/>
    <c:showDLblsOverMax val="0"/>
  </c:chart>
  <c:spPr>
    <a:solidFill>
      <a:srgbClr val="C0C0C0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800" b="0" i="0" u="none" strike="noStrike" baseline="0">
          <a:solidFill>
            <a:srgbClr val="333333"/>
          </a:solidFill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33</xdr:col>
      <xdr:colOff>428625</xdr:colOff>
      <xdr:row>13</xdr:row>
      <xdr:rowOff>238124</xdr:rowOff>
    </xdr:from>
    <xdr:to>
      <xdr:col>33</xdr:col>
      <xdr:colOff>9526</xdr:colOff>
      <xdr:row>15</xdr:row>
      <xdr:rowOff>9525</xdr:rowOff>
    </xdr:to>
    <xdr:sp>
      <xdr:nvSpPr>
        <xdr:cNvPr id="1025" name="Line 1"/>
        <xdr:cNvSpPr>
          <a:spLocks noChangeShapeType="1"/>
        </xdr:cNvSpPr>
      </xdr:nvSpPr>
      <xdr:spPr>
        <a:xfrm flipV="1">
          <a:off x="4705350" y="530860"/>
          <a:ext cx="0" cy="438785"/>
        </a:xfrm>
        <a:prstGeom prst="line">
          <a:avLst/>
        </a:prstGeom>
        <a:noFill/>
        <a:ln w="12700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47625</xdr:colOff>
      <xdr:row>41</xdr:row>
      <xdr:rowOff>9525</xdr:rowOff>
    </xdr:from>
    <xdr:to>
      <xdr:col>2</xdr:col>
      <xdr:colOff>371475</xdr:colOff>
      <xdr:row>42</xdr:row>
      <xdr:rowOff>0</xdr:rowOff>
    </xdr:to>
    <xdr:sp>
      <xdr:nvSpPr>
        <xdr:cNvPr id="1027" name="AutoShape 3"/>
        <xdr:cNvSpPr>
          <a:spLocks noChangeArrowheads="1"/>
        </xdr:cNvSpPr>
      </xdr:nvSpPr>
      <xdr:spPr>
        <a:xfrm rot="10800000">
          <a:off x="1009650" y="10037445"/>
          <a:ext cx="323850" cy="295275"/>
        </a:xfrm>
        <a:prstGeom prst="upArrow">
          <a:avLst>
            <a:gd name="adj1" fmla="val 50000"/>
            <a:gd name="adj2" fmla="val 25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4</xdr:col>
      <xdr:colOff>57150</xdr:colOff>
      <xdr:row>41</xdr:row>
      <xdr:rowOff>0</xdr:rowOff>
    </xdr:from>
    <xdr:to>
      <xdr:col>4</xdr:col>
      <xdr:colOff>381000</xdr:colOff>
      <xdr:row>42</xdr:row>
      <xdr:rowOff>0</xdr:rowOff>
    </xdr:to>
    <xdr:sp>
      <xdr:nvSpPr>
        <xdr:cNvPr id="1028" name="AutoShape 4"/>
        <xdr:cNvSpPr>
          <a:spLocks noChangeArrowheads="1"/>
        </xdr:cNvSpPr>
      </xdr:nvSpPr>
      <xdr:spPr>
        <a:xfrm rot="10800000">
          <a:off x="2019300" y="10027920"/>
          <a:ext cx="323850" cy="304800"/>
        </a:xfrm>
        <a:prstGeom prst="upArrow">
          <a:avLst>
            <a:gd name="adj1" fmla="val 50000"/>
            <a:gd name="adj2" fmla="val 25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5</xdr:col>
      <xdr:colOff>0</xdr:colOff>
      <xdr:row>13</xdr:row>
      <xdr:rowOff>95250</xdr:rowOff>
    </xdr:from>
    <xdr:to>
      <xdr:col>33</xdr:col>
      <xdr:colOff>0</xdr:colOff>
      <xdr:row>23</xdr:row>
      <xdr:rowOff>0</xdr:rowOff>
    </xdr:to>
    <xdr:graphicFrame>
      <xdr:nvGraphicFramePr>
        <xdr:cNvPr id="9" name="Chart 74"/>
        <xdr:cNvGraphicFramePr/>
      </xdr:nvGraphicFramePr>
      <xdr:xfrm>
        <a:off x="2409825" y="388620"/>
        <a:ext cx="1866900" cy="3314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438150</xdr:colOff>
      <xdr:row>23</xdr:row>
      <xdr:rowOff>9526</xdr:rowOff>
    </xdr:from>
    <xdr:to>
      <xdr:col>32</xdr:col>
      <xdr:colOff>57149</xdr:colOff>
      <xdr:row>32</xdr:row>
      <xdr:rowOff>38101</xdr:rowOff>
    </xdr:to>
    <xdr:graphicFrame>
      <xdr:nvGraphicFramePr>
        <xdr:cNvPr id="8" name="Chart 74"/>
        <xdr:cNvGraphicFramePr/>
      </xdr:nvGraphicFramePr>
      <xdr:xfrm>
        <a:off x="2400300" y="3712845"/>
        <a:ext cx="1866265" cy="3228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32</xdr:row>
      <xdr:rowOff>28575</xdr:rowOff>
    </xdr:from>
    <xdr:to>
      <xdr:col>32</xdr:col>
      <xdr:colOff>47625</xdr:colOff>
      <xdr:row>42</xdr:row>
      <xdr:rowOff>220345</xdr:rowOff>
    </xdr:to>
    <xdr:graphicFrame>
      <xdr:nvGraphicFramePr>
        <xdr:cNvPr id="11" name="Chart 74"/>
        <xdr:cNvGraphicFramePr/>
      </xdr:nvGraphicFramePr>
      <xdr:xfrm>
        <a:off x="2409825" y="6932295"/>
        <a:ext cx="1847850" cy="36207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Y45"/>
  <sheetViews>
    <sheetView tabSelected="1" topLeftCell="A14" workbookViewId="0">
      <selection activeCell="A16" sqref="A16"/>
    </sheetView>
  </sheetViews>
  <sheetFormatPr defaultColWidth="9" defaultRowHeight="12.75"/>
  <cols>
    <col min="1" max="1" width="7.71428571428571" style="1" customWidth="1"/>
    <col min="2" max="2" width="6.71428571428571" style="2" customWidth="1"/>
    <col min="3" max="3" width="8.28571428571429" style="2" customWidth="1"/>
    <col min="4" max="5" width="6.71428571428571" style="2" customWidth="1"/>
    <col min="6" max="33" width="1" style="2" customWidth="1"/>
    <col min="34" max="35" width="6.42857142857143" style="2" customWidth="1"/>
    <col min="36" max="43" width="10.7142857142857" style="2" customWidth="1"/>
    <col min="44" max="44" width="19.5714285714286" style="2" customWidth="1"/>
    <col min="45" max="45" width="40.7142857142857" style="2" customWidth="1"/>
    <col min="46" max="66" width="9.14285714285714" style="2"/>
    <col min="67" max="16383" width="9.14285714285714" style="3"/>
    <col min="16384" max="16384" width="9" style="3"/>
  </cols>
  <sheetData>
    <row r="1" hidden="1" spans="1:57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5"/>
    </row>
    <row r="2" ht="13.5" hidden="1" spans="46:57"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62"/>
      <c r="BE2" s="162"/>
    </row>
    <row r="3" hidden="1" spans="1:57">
      <c r="A3" s="6"/>
      <c r="B3" s="7" t="s">
        <v>0</v>
      </c>
      <c r="C3" s="8"/>
      <c r="D3" s="9"/>
      <c r="E3" s="10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7" t="s">
        <v>1</v>
      </c>
      <c r="AI3" s="8"/>
      <c r="AJ3" s="8"/>
      <c r="AK3" s="8"/>
      <c r="AL3" s="8"/>
      <c r="AM3" s="8"/>
      <c r="AN3" s="8"/>
      <c r="AO3" s="8"/>
      <c r="AP3" s="9"/>
      <c r="AQ3" s="8"/>
      <c r="AR3" s="7" t="s">
        <v>2</v>
      </c>
      <c r="AS3" s="116"/>
      <c r="AT3" s="117" t="s">
        <v>3</v>
      </c>
      <c r="AU3" s="118"/>
      <c r="AV3" s="118"/>
      <c r="AW3" s="118" t="s">
        <v>4</v>
      </c>
      <c r="AX3" s="118"/>
      <c r="AY3" s="118"/>
      <c r="AZ3" s="118" t="s">
        <v>5</v>
      </c>
      <c r="BA3" s="118"/>
      <c r="BB3" s="118"/>
      <c r="BC3" s="122"/>
      <c r="BD3" s="163"/>
      <c r="BE3" s="163"/>
    </row>
    <row r="4" hidden="1" spans="1:57">
      <c r="A4" s="11" t="s">
        <v>6</v>
      </c>
      <c r="B4" s="12"/>
      <c r="C4" s="12"/>
      <c r="D4" s="12"/>
      <c r="E4" s="13" t="s">
        <v>7</v>
      </c>
      <c r="F4" s="14" t="s">
        <v>8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4" t="s">
        <v>9</v>
      </c>
      <c r="AI4" s="12"/>
      <c r="AJ4" s="12"/>
      <c r="AK4" s="13" t="s">
        <v>10</v>
      </c>
      <c r="AL4" s="14" t="s">
        <v>11</v>
      </c>
      <c r="AM4" s="12"/>
      <c r="AN4" s="12"/>
      <c r="AO4" s="13" t="s">
        <v>12</v>
      </c>
      <c r="AP4" s="14" t="s">
        <v>13</v>
      </c>
      <c r="AQ4" s="12"/>
      <c r="AR4" s="119" t="s">
        <v>14</v>
      </c>
      <c r="AS4" s="120"/>
      <c r="AT4" s="121">
        <f>D23</f>
        <v>0</v>
      </c>
      <c r="AU4" s="121">
        <f>D23</f>
        <v>0</v>
      </c>
      <c r="AV4" s="121">
        <f>D22</f>
        <v>0</v>
      </c>
      <c r="AW4" s="121">
        <f>D32</f>
        <v>0</v>
      </c>
      <c r="AX4" s="121">
        <f>D32</f>
        <v>0</v>
      </c>
      <c r="AY4" s="121">
        <f>D31</f>
        <v>0</v>
      </c>
      <c r="AZ4" s="122">
        <f>D41</f>
        <v>0</v>
      </c>
      <c r="BA4" s="122">
        <f>D41</f>
        <v>0</v>
      </c>
      <c r="BB4" s="122">
        <f>D40</f>
        <v>0</v>
      </c>
      <c r="BC4" s="122"/>
      <c r="BD4" s="163"/>
      <c r="BE4" s="163"/>
    </row>
    <row r="5" hidden="1" spans="1:57">
      <c r="A5" s="11" t="s">
        <v>15</v>
      </c>
      <c r="B5" s="12"/>
      <c r="C5" s="12"/>
      <c r="D5" s="12"/>
      <c r="E5" s="13" t="s">
        <v>16</v>
      </c>
      <c r="F5" s="14" t="s">
        <v>17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4"/>
      <c r="AI5" s="12"/>
      <c r="AJ5" s="12"/>
      <c r="AK5" s="13" t="s">
        <v>18</v>
      </c>
      <c r="AL5" s="14" t="s">
        <v>19</v>
      </c>
      <c r="AM5" s="12"/>
      <c r="AN5" s="12"/>
      <c r="AO5" s="13" t="s">
        <v>20</v>
      </c>
      <c r="AP5" s="14" t="s">
        <v>21</v>
      </c>
      <c r="AQ5" s="12"/>
      <c r="AR5" s="119" t="s">
        <v>22</v>
      </c>
      <c r="AS5" s="120"/>
      <c r="AT5" s="122">
        <v>0</v>
      </c>
      <c r="AU5" s="122">
        <v>0.5</v>
      </c>
      <c r="AV5" s="122">
        <v>0.5</v>
      </c>
      <c r="AW5" s="122">
        <v>0</v>
      </c>
      <c r="AX5" s="122">
        <v>0.5</v>
      </c>
      <c r="AY5" s="122">
        <v>0.5</v>
      </c>
      <c r="AZ5" s="122">
        <v>0</v>
      </c>
      <c r="BA5" s="122">
        <v>0.5</v>
      </c>
      <c r="BB5" s="122">
        <v>0.5</v>
      </c>
      <c r="BC5" s="122"/>
      <c r="BD5" s="163"/>
      <c r="BE5" s="163"/>
    </row>
    <row r="6" hidden="1" spans="1:57">
      <c r="A6" s="11" t="s">
        <v>23</v>
      </c>
      <c r="B6" s="12"/>
      <c r="C6" s="12"/>
      <c r="D6" s="12"/>
      <c r="E6" s="13" t="s">
        <v>24</v>
      </c>
      <c r="F6" s="14" t="s">
        <v>25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4"/>
      <c r="AI6" s="12"/>
      <c r="AJ6" s="12"/>
      <c r="AK6" s="13" t="s">
        <v>26</v>
      </c>
      <c r="AL6" s="14" t="s">
        <v>27</v>
      </c>
      <c r="AM6" s="12"/>
      <c r="AN6" s="12"/>
      <c r="AO6" s="13" t="s">
        <v>28</v>
      </c>
      <c r="AP6" s="14" t="s">
        <v>29</v>
      </c>
      <c r="AQ6" s="12"/>
      <c r="AR6" s="119" t="s">
        <v>30</v>
      </c>
      <c r="AS6" s="120"/>
      <c r="AT6" s="121">
        <f>D22</f>
        <v>0</v>
      </c>
      <c r="AU6" s="121">
        <f>D22</f>
        <v>0</v>
      </c>
      <c r="AV6" s="121">
        <f>D21</f>
        <v>0</v>
      </c>
      <c r="AW6" s="121">
        <f>D31</f>
        <v>0</v>
      </c>
      <c r="AX6" s="121">
        <f>D31</f>
        <v>0</v>
      </c>
      <c r="AY6" s="121">
        <f>D30</f>
        <v>0</v>
      </c>
      <c r="AZ6" s="122">
        <f>D40</f>
        <v>0</v>
      </c>
      <c r="BA6" s="122">
        <f>D40</f>
        <v>0</v>
      </c>
      <c r="BB6" s="122">
        <f>D39</f>
        <v>0</v>
      </c>
      <c r="BC6" s="122"/>
      <c r="BD6" s="163"/>
      <c r="BE6" s="163"/>
    </row>
    <row r="7" hidden="1" spans="1:57">
      <c r="A7" s="11" t="s">
        <v>31</v>
      </c>
      <c r="B7" s="12"/>
      <c r="C7" s="12"/>
      <c r="D7" s="12"/>
      <c r="E7" s="13" t="s">
        <v>32</v>
      </c>
      <c r="F7" s="14" t="s">
        <v>33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4"/>
      <c r="AI7" s="12"/>
      <c r="AJ7" s="12"/>
      <c r="AK7" s="13" t="s">
        <v>34</v>
      </c>
      <c r="AL7" s="14" t="s">
        <v>35</v>
      </c>
      <c r="AM7" s="12"/>
      <c r="AN7" s="12"/>
      <c r="AO7" s="13" t="s">
        <v>36</v>
      </c>
      <c r="AP7" s="14"/>
      <c r="AQ7" s="12"/>
      <c r="AR7" s="119" t="s">
        <v>37</v>
      </c>
      <c r="AS7" s="120"/>
      <c r="AT7" s="122">
        <v>0.5</v>
      </c>
      <c r="AU7" s="122">
        <v>1</v>
      </c>
      <c r="AV7" s="122">
        <v>1</v>
      </c>
      <c r="AW7" s="122">
        <v>0.5</v>
      </c>
      <c r="AX7" s="122">
        <v>1</v>
      </c>
      <c r="AY7" s="122">
        <v>1</v>
      </c>
      <c r="AZ7" s="122">
        <v>0.5</v>
      </c>
      <c r="BA7" s="122">
        <v>1</v>
      </c>
      <c r="BB7" s="122">
        <v>1</v>
      </c>
      <c r="BC7" s="122"/>
      <c r="BD7" s="163"/>
      <c r="BE7" s="163"/>
    </row>
    <row r="8" hidden="1" spans="1:57">
      <c r="A8" s="11" t="s">
        <v>38</v>
      </c>
      <c r="B8" s="12"/>
      <c r="C8" s="12"/>
      <c r="D8" s="12"/>
      <c r="E8" s="13" t="s">
        <v>39</v>
      </c>
      <c r="F8" s="14" t="s">
        <v>40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4"/>
      <c r="AI8" s="12"/>
      <c r="AJ8" s="12"/>
      <c r="AK8" s="13" t="s">
        <v>41</v>
      </c>
      <c r="AL8" s="14" t="s">
        <v>42</v>
      </c>
      <c r="AM8" s="12"/>
      <c r="AN8" s="12"/>
      <c r="AO8" s="13" t="s">
        <v>43</v>
      </c>
      <c r="AP8" s="14"/>
      <c r="AQ8" s="12"/>
      <c r="AR8" s="119" t="s">
        <v>44</v>
      </c>
      <c r="AS8" s="120"/>
      <c r="AT8" s="121">
        <f>D21</f>
        <v>0</v>
      </c>
      <c r="AU8" s="121">
        <f>D21</f>
        <v>0</v>
      </c>
      <c r="AV8" s="121">
        <f>D20</f>
        <v>0</v>
      </c>
      <c r="AW8" s="121">
        <f>D30</f>
        <v>0</v>
      </c>
      <c r="AX8" s="121">
        <f>D30</f>
        <v>0</v>
      </c>
      <c r="AY8" s="121">
        <f>D29</f>
        <v>0</v>
      </c>
      <c r="AZ8" s="122">
        <f>D39</f>
        <v>0</v>
      </c>
      <c r="BA8" s="122">
        <f>D39</f>
        <v>0</v>
      </c>
      <c r="BB8" s="122">
        <f>D38</f>
        <v>0</v>
      </c>
      <c r="BC8" s="122"/>
      <c r="BD8" s="163"/>
      <c r="BE8" s="163"/>
    </row>
    <row r="9" ht="13.5" hidden="1" spans="1:57">
      <c r="A9" s="15"/>
      <c r="B9" s="16"/>
      <c r="C9" s="16"/>
      <c r="D9" s="16"/>
      <c r="E9" s="17" t="s">
        <v>45</v>
      </c>
      <c r="F9" s="18" t="s">
        <v>46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8"/>
      <c r="AI9" s="16"/>
      <c r="AJ9" s="16"/>
      <c r="AK9" s="17" t="s">
        <v>47</v>
      </c>
      <c r="AL9" s="18" t="s">
        <v>48</v>
      </c>
      <c r="AM9" s="16"/>
      <c r="AN9" s="16"/>
      <c r="AO9" s="16"/>
      <c r="AP9" s="16"/>
      <c r="AQ9" s="123"/>
      <c r="AR9" s="16"/>
      <c r="AS9" s="124"/>
      <c r="AT9" s="122">
        <v>1</v>
      </c>
      <c r="AU9" s="122">
        <v>1.5</v>
      </c>
      <c r="AV9" s="122">
        <v>1.5</v>
      </c>
      <c r="AW9" s="122">
        <v>1</v>
      </c>
      <c r="AX9" s="122">
        <v>1.5</v>
      </c>
      <c r="AY9" s="122">
        <v>1.5</v>
      </c>
      <c r="AZ9" s="122">
        <v>1</v>
      </c>
      <c r="BA9" s="122">
        <v>1.5</v>
      </c>
      <c r="BB9" s="122">
        <v>1.5</v>
      </c>
      <c r="BC9" s="122"/>
      <c r="BD9" s="163"/>
      <c r="BE9" s="163"/>
    </row>
    <row r="10" ht="13.5" hidden="1" spans="46:57">
      <c r="AT10" s="121">
        <f>D20</f>
        <v>0</v>
      </c>
      <c r="AU10" s="121">
        <f>D20</f>
        <v>0</v>
      </c>
      <c r="AV10" s="121">
        <f>D19</f>
        <v>0</v>
      </c>
      <c r="AW10" s="121">
        <f>D29</f>
        <v>0</v>
      </c>
      <c r="AX10" s="121">
        <f>D29</f>
        <v>0</v>
      </c>
      <c r="AY10" s="121">
        <f>D28</f>
        <v>0</v>
      </c>
      <c r="AZ10" s="122">
        <f>D38</f>
        <v>0</v>
      </c>
      <c r="BA10" s="122">
        <f>D38</f>
        <v>0</v>
      </c>
      <c r="BB10" s="122">
        <f>D37</f>
        <v>0</v>
      </c>
      <c r="BC10" s="122"/>
      <c r="BD10" s="163"/>
      <c r="BE10" s="163"/>
    </row>
    <row r="11" ht="23.1" customHeight="1" spans="1:106">
      <c r="A11" s="19" t="s">
        <v>49</v>
      </c>
      <c r="B11" s="20"/>
      <c r="C11" s="21"/>
      <c r="D11" s="20"/>
      <c r="E11" s="22"/>
      <c r="F11" s="23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2"/>
      <c r="AH11" s="77" t="s">
        <v>50</v>
      </c>
      <c r="AI11" s="77"/>
      <c r="AJ11" s="78"/>
      <c r="AK11" s="79"/>
      <c r="AL11" s="80"/>
      <c r="AM11" s="81"/>
      <c r="AN11" s="82" t="s">
        <v>51</v>
      </c>
      <c r="AO11" s="125"/>
      <c r="AP11" s="126"/>
      <c r="AQ11" s="127"/>
      <c r="AR11" s="127"/>
      <c r="AS11" s="128"/>
      <c r="AT11" s="122">
        <v>1.5</v>
      </c>
      <c r="AU11" s="122">
        <v>2</v>
      </c>
      <c r="AV11" s="122">
        <v>2</v>
      </c>
      <c r="AW11" s="122">
        <v>1.5</v>
      </c>
      <c r="AX11" s="122">
        <v>2</v>
      </c>
      <c r="AY11" s="122">
        <v>2</v>
      </c>
      <c r="AZ11" s="122">
        <v>1.5</v>
      </c>
      <c r="BA11" s="122">
        <v>2</v>
      </c>
      <c r="BB11" s="122">
        <v>2</v>
      </c>
      <c r="BC11" s="122"/>
      <c r="BD11" s="163"/>
      <c r="BE11" s="163"/>
      <c r="BF11" s="75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75"/>
      <c r="BS11" s="75"/>
      <c r="BT11" s="75"/>
      <c r="BU11" s="75"/>
      <c r="BV11" s="75"/>
      <c r="BW11" s="75"/>
      <c r="BX11" s="75"/>
      <c r="BY11" s="75"/>
      <c r="BZ11" s="75"/>
      <c r="CA11" s="75"/>
      <c r="CB11" s="75"/>
      <c r="CC11" s="75"/>
      <c r="CD11" s="75"/>
      <c r="CE11" s="75"/>
      <c r="CF11" s="75"/>
      <c r="CG11" s="75"/>
      <c r="CH11" s="75"/>
      <c r="CI11" s="75"/>
      <c r="CJ11" s="75"/>
      <c r="CK11" s="75"/>
      <c r="CL11" s="75"/>
      <c r="CM11" s="75"/>
      <c r="CN11" s="75"/>
      <c r="CO11" s="75"/>
      <c r="CP11" s="75"/>
      <c r="CQ11" s="75"/>
      <c r="CR11" s="75"/>
      <c r="CS11" s="75"/>
      <c r="CT11" s="75"/>
      <c r="CU11" s="75"/>
      <c r="CV11" s="75"/>
      <c r="CW11" s="75"/>
      <c r="CX11" s="75"/>
      <c r="CY11" s="75"/>
      <c r="CZ11" s="75"/>
      <c r="DA11" s="75"/>
      <c r="DB11" s="75"/>
    </row>
    <row r="12" hidden="1" customHeight="1" spans="1:106">
      <c r="A12" s="2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75"/>
      <c r="AP12" s="129"/>
      <c r="AQ12" s="75"/>
      <c r="AR12" s="75"/>
      <c r="AS12" s="75"/>
      <c r="AT12" s="122">
        <f>B24</f>
        <v>0</v>
      </c>
      <c r="AU12" s="122">
        <f>B24</f>
        <v>0</v>
      </c>
      <c r="AV12" s="122">
        <f>B23</f>
        <v>0</v>
      </c>
      <c r="AW12" s="122">
        <f>B33</f>
        <v>0</v>
      </c>
      <c r="AX12" s="122">
        <f>B33</f>
        <v>0</v>
      </c>
      <c r="AY12" s="122">
        <f>B32</f>
        <v>0</v>
      </c>
      <c r="AZ12" s="122">
        <f>B42</f>
        <v>0</v>
      </c>
      <c r="BA12" s="122">
        <f>B42</f>
        <v>0</v>
      </c>
      <c r="BB12" s="122">
        <f>B41</f>
        <v>0</v>
      </c>
      <c r="BC12" s="122"/>
      <c r="BD12" s="163"/>
      <c r="BE12" s="163"/>
      <c r="BF12" s="75"/>
      <c r="BG12" s="75"/>
      <c r="BH12" s="75"/>
      <c r="BI12" s="75"/>
      <c r="BJ12" s="75"/>
      <c r="BK12" s="75"/>
      <c r="BL12" s="75"/>
      <c r="BM12" s="75"/>
      <c r="BN12" s="75"/>
      <c r="BO12" s="75"/>
      <c r="BP12" s="75"/>
      <c r="BQ12" s="75"/>
      <c r="BR12" s="75"/>
      <c r="BS12" s="75"/>
      <c r="BT12" s="75"/>
      <c r="BU12" s="75"/>
      <c r="BV12" s="75"/>
      <c r="BW12" s="75"/>
      <c r="BX12" s="75"/>
      <c r="BY12" s="75"/>
      <c r="BZ12" s="75"/>
      <c r="CA12" s="75"/>
      <c r="CB12" s="75"/>
      <c r="CC12" s="75"/>
      <c r="CD12" s="75"/>
      <c r="CE12" s="75"/>
      <c r="CF12" s="75"/>
      <c r="CG12" s="75"/>
      <c r="CH12" s="75"/>
      <c r="CI12" s="75"/>
      <c r="CJ12" s="75"/>
      <c r="CK12" s="75"/>
      <c r="CL12" s="75"/>
      <c r="CM12" s="75"/>
      <c r="CN12" s="75"/>
      <c r="CO12" s="75"/>
      <c r="CP12" s="75"/>
      <c r="CQ12" s="75"/>
      <c r="CR12" s="75"/>
      <c r="CS12" s="75"/>
      <c r="CT12" s="75"/>
      <c r="CU12" s="75"/>
      <c r="CV12" s="75"/>
      <c r="CW12" s="75"/>
      <c r="CX12" s="75"/>
      <c r="CY12" s="75"/>
      <c r="CZ12" s="75"/>
      <c r="DA12" s="75"/>
      <c r="DB12" s="75"/>
    </row>
    <row r="13" ht="2.25" hidden="1" customHeight="1" spans="1:106">
      <c r="A13" s="2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75"/>
      <c r="AP13" s="129"/>
      <c r="AQ13" s="75"/>
      <c r="AR13" s="75"/>
      <c r="AS13" s="75"/>
      <c r="AT13" s="122">
        <v>2</v>
      </c>
      <c r="AU13" s="122">
        <v>2.5</v>
      </c>
      <c r="AV13" s="122">
        <v>2.5</v>
      </c>
      <c r="AW13" s="122">
        <v>2</v>
      </c>
      <c r="AX13" s="122">
        <v>2.5</v>
      </c>
      <c r="AY13" s="122">
        <v>2.5</v>
      </c>
      <c r="AZ13" s="122">
        <v>2</v>
      </c>
      <c r="BA13" s="122">
        <v>2.5</v>
      </c>
      <c r="BB13" s="122">
        <v>2.5</v>
      </c>
      <c r="BC13" s="122"/>
      <c r="BD13" s="163"/>
      <c r="BE13" s="163"/>
      <c r="BF13" s="75"/>
      <c r="BG13" s="75"/>
      <c r="BH13" s="75"/>
      <c r="BI13" s="75"/>
      <c r="BJ13" s="75"/>
      <c r="BK13" s="75"/>
      <c r="BL13" s="75"/>
      <c r="BM13" s="75"/>
      <c r="BN13" s="75"/>
      <c r="BO13" s="75"/>
      <c r="BP13" s="75"/>
      <c r="BQ13" s="75"/>
      <c r="BR13" s="75"/>
      <c r="BS13" s="75"/>
      <c r="BT13" s="75"/>
      <c r="BU13" s="75"/>
      <c r="BV13" s="75"/>
      <c r="BW13" s="75"/>
      <c r="BX13" s="75"/>
      <c r="BY13" s="75"/>
      <c r="BZ13" s="75"/>
      <c r="CA13" s="75"/>
      <c r="CB13" s="75"/>
      <c r="CC13" s="75"/>
      <c r="CD13" s="75"/>
      <c r="CE13" s="75"/>
      <c r="CF13" s="75"/>
      <c r="CG13" s="75"/>
      <c r="CH13" s="75"/>
      <c r="CI13" s="75"/>
      <c r="CJ13" s="75"/>
      <c r="CK13" s="75"/>
      <c r="CL13" s="75"/>
      <c r="CM13" s="75"/>
      <c r="CN13" s="75"/>
      <c r="CO13" s="75"/>
      <c r="CP13" s="75"/>
      <c r="CQ13" s="75"/>
      <c r="CR13" s="75"/>
      <c r="CS13" s="75"/>
      <c r="CT13" s="75"/>
      <c r="CU13" s="75"/>
      <c r="CV13" s="75"/>
      <c r="CW13" s="75"/>
      <c r="CX13" s="75"/>
      <c r="CY13" s="75"/>
      <c r="CZ13" s="75"/>
      <c r="DA13" s="75"/>
      <c r="DB13" s="75"/>
    </row>
    <row r="14" ht="22.5" customHeight="1" spans="1:106">
      <c r="A14" s="25"/>
      <c r="B14" s="26" t="s">
        <v>52</v>
      </c>
      <c r="C14" s="27"/>
      <c r="D14" s="28" t="s">
        <v>53</v>
      </c>
      <c r="E14" s="29"/>
      <c r="F14" s="30" t="s">
        <v>54</v>
      </c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83" t="s">
        <v>55</v>
      </c>
      <c r="AI14" s="84"/>
      <c r="AJ14" s="85" t="s">
        <v>56</v>
      </c>
      <c r="AK14" s="86"/>
      <c r="AL14" s="86"/>
      <c r="AM14" s="86"/>
      <c r="AN14" s="86"/>
      <c r="AO14" s="86"/>
      <c r="AP14" s="86"/>
      <c r="AQ14" s="86"/>
      <c r="AR14" s="130"/>
      <c r="AS14" s="131" t="s">
        <v>57</v>
      </c>
      <c r="AT14" s="121">
        <f>D19</f>
        <v>0</v>
      </c>
      <c r="AU14" s="121">
        <f>D19</f>
        <v>0</v>
      </c>
      <c r="AV14" s="121">
        <f>D18</f>
        <v>0</v>
      </c>
      <c r="AW14" s="121">
        <f>D28</f>
        <v>0</v>
      </c>
      <c r="AX14" s="121">
        <f>D28</f>
        <v>0</v>
      </c>
      <c r="AY14" s="121">
        <f>D27</f>
        <v>0</v>
      </c>
      <c r="AZ14" s="122">
        <f>D37</f>
        <v>0</v>
      </c>
      <c r="BA14" s="122">
        <f>D37</f>
        <v>0</v>
      </c>
      <c r="BB14" s="122">
        <f>D36</f>
        <v>0</v>
      </c>
      <c r="BC14" s="122"/>
      <c r="BD14" s="163"/>
      <c r="BE14" s="163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5"/>
      <c r="BU14" s="75"/>
      <c r="BV14" s="75"/>
      <c r="BW14" s="75"/>
      <c r="BX14" s="75"/>
      <c r="BY14" s="75"/>
      <c r="BZ14" s="75"/>
      <c r="CA14" s="75"/>
      <c r="CB14" s="75"/>
      <c r="CC14" s="75"/>
      <c r="CD14" s="75"/>
      <c r="CE14" s="75"/>
      <c r="CF14" s="75"/>
      <c r="CG14" s="75"/>
      <c r="CH14" s="75"/>
      <c r="CI14" s="75"/>
      <c r="CJ14" s="75"/>
      <c r="CK14" s="75"/>
      <c r="CL14" s="75"/>
      <c r="CM14" s="75"/>
      <c r="CN14" s="75"/>
      <c r="CO14" s="75"/>
      <c r="CP14" s="75"/>
      <c r="CQ14" s="75"/>
      <c r="CR14" s="75"/>
      <c r="CS14" s="75"/>
      <c r="CT14" s="75"/>
      <c r="CU14" s="75"/>
      <c r="CV14" s="75"/>
      <c r="CW14" s="75"/>
      <c r="CX14" s="75"/>
      <c r="CY14" s="75"/>
      <c r="CZ14" s="75"/>
      <c r="DA14" s="75"/>
      <c r="DB14" s="75"/>
    </row>
    <row r="15" ht="30" customHeight="1" spans="1:181">
      <c r="A15" s="32" t="s">
        <v>58</v>
      </c>
      <c r="B15" s="33" t="s">
        <v>59</v>
      </c>
      <c r="C15" s="34" t="s">
        <v>60</v>
      </c>
      <c r="D15" s="35" t="s">
        <v>59</v>
      </c>
      <c r="E15" s="36" t="s">
        <v>60</v>
      </c>
      <c r="F15" s="37">
        <v>0</v>
      </c>
      <c r="G15" s="37"/>
      <c r="H15" s="37">
        <v>10</v>
      </c>
      <c r="I15" s="37"/>
      <c r="J15" s="37">
        <v>20</v>
      </c>
      <c r="K15" s="37"/>
      <c r="L15" s="37">
        <v>30</v>
      </c>
      <c r="M15" s="37"/>
      <c r="N15" s="37">
        <v>40</v>
      </c>
      <c r="O15" s="37"/>
      <c r="P15" s="37">
        <v>50</v>
      </c>
      <c r="Q15" s="37"/>
      <c r="R15" s="37">
        <v>60</v>
      </c>
      <c r="S15" s="37"/>
      <c r="T15" s="37">
        <v>70</v>
      </c>
      <c r="U15" s="37"/>
      <c r="V15" s="37">
        <v>80</v>
      </c>
      <c r="W15" s="37"/>
      <c r="X15" s="37">
        <v>90</v>
      </c>
      <c r="Y15" s="37"/>
      <c r="Z15" s="37">
        <v>100</v>
      </c>
      <c r="AA15" s="37"/>
      <c r="AB15" s="37">
        <v>110</v>
      </c>
      <c r="AC15" s="37"/>
      <c r="AD15" s="37">
        <v>120</v>
      </c>
      <c r="AE15" s="37"/>
      <c r="AF15" s="76">
        <v>130</v>
      </c>
      <c r="AG15" s="76"/>
      <c r="AH15" s="87" t="s">
        <v>61</v>
      </c>
      <c r="AI15" s="88" t="s">
        <v>62</v>
      </c>
      <c r="AJ15" s="89"/>
      <c r="AK15" s="90"/>
      <c r="AL15" s="90"/>
      <c r="AM15" s="90"/>
      <c r="AN15" s="90"/>
      <c r="AO15" s="90"/>
      <c r="AP15" s="90"/>
      <c r="AQ15" s="132"/>
      <c r="AR15" s="133"/>
      <c r="AS15" s="134"/>
      <c r="AT15" s="122">
        <v>2</v>
      </c>
      <c r="AU15" s="122">
        <v>2.5</v>
      </c>
      <c r="AV15" s="122">
        <v>2.5</v>
      </c>
      <c r="AW15" s="122">
        <v>2</v>
      </c>
      <c r="AX15" s="122">
        <v>2.5</v>
      </c>
      <c r="AY15" s="122">
        <v>2.5</v>
      </c>
      <c r="AZ15" s="122">
        <v>2</v>
      </c>
      <c r="BA15" s="122">
        <v>2.5</v>
      </c>
      <c r="BB15" s="122">
        <v>2.5</v>
      </c>
      <c r="BC15" s="122"/>
      <c r="BD15" s="163"/>
      <c r="BE15" s="163"/>
      <c r="BF15" s="164"/>
      <c r="BG15" s="164"/>
      <c r="BH15" s="164"/>
      <c r="BI15" s="164"/>
      <c r="BJ15" s="164"/>
      <c r="BK15" s="164"/>
      <c r="BL15" s="164"/>
      <c r="BM15" s="164"/>
      <c r="BN15" s="164"/>
      <c r="BO15" s="164"/>
      <c r="BP15" s="164"/>
      <c r="BQ15" s="164"/>
      <c r="BR15" s="164"/>
      <c r="BS15" s="164"/>
      <c r="BT15" s="164"/>
      <c r="BU15" s="164"/>
      <c r="BV15" s="164"/>
      <c r="BW15" s="164"/>
      <c r="BX15" s="164"/>
      <c r="BY15" s="164"/>
      <c r="BZ15" s="164"/>
      <c r="CA15" s="164"/>
      <c r="CB15" s="164"/>
      <c r="CC15" s="164"/>
      <c r="CD15" s="164"/>
      <c r="CE15" s="164"/>
      <c r="CF15" s="164"/>
      <c r="CG15" s="164"/>
      <c r="CH15" s="164"/>
      <c r="CI15" s="164"/>
      <c r="CJ15" s="164"/>
      <c r="CK15" s="164"/>
      <c r="CL15" s="164"/>
      <c r="CM15" s="164"/>
      <c r="CN15" s="164"/>
      <c r="CO15" s="164"/>
      <c r="CP15" s="164"/>
      <c r="CQ15" s="164"/>
      <c r="CR15" s="164"/>
      <c r="CS15" s="164"/>
      <c r="CT15" s="164"/>
      <c r="CU15" s="164"/>
      <c r="CV15" s="164"/>
      <c r="CW15" s="164"/>
      <c r="CX15" s="164"/>
      <c r="CY15" s="164"/>
      <c r="CZ15" s="164"/>
      <c r="DA15" s="164"/>
      <c r="DB15" s="164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</row>
    <row r="16" ht="27" customHeight="1" spans="1:181">
      <c r="A16" s="166" t="s">
        <v>63</v>
      </c>
      <c r="B16" s="39">
        <v>0</v>
      </c>
      <c r="C16" s="40">
        <f>B16</f>
        <v>0</v>
      </c>
      <c r="D16" s="41">
        <v>0</v>
      </c>
      <c r="E16" s="42">
        <f>D16</f>
        <v>0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 s="91"/>
      <c r="AI16" s="92"/>
      <c r="AJ16" s="44"/>
      <c r="AK16" s="93"/>
      <c r="AL16" s="93"/>
      <c r="AM16" s="93"/>
      <c r="AN16" s="93"/>
      <c r="AO16" s="93"/>
      <c r="AP16" s="93"/>
      <c r="AQ16" s="135"/>
      <c r="AR16" s="136"/>
      <c r="AS16" s="137"/>
      <c r="AT16" s="121">
        <f>D18</f>
        <v>0</v>
      </c>
      <c r="AU16" s="121">
        <f>D18</f>
        <v>0</v>
      </c>
      <c r="AV16" s="121">
        <f>D17</f>
        <v>0</v>
      </c>
      <c r="AW16" s="121">
        <f>D27</f>
        <v>0</v>
      </c>
      <c r="AX16" s="121">
        <f>D27</f>
        <v>0</v>
      </c>
      <c r="AY16" s="121">
        <f>D26</f>
        <v>0</v>
      </c>
      <c r="AZ16" s="122">
        <f>D36</f>
        <v>0</v>
      </c>
      <c r="BA16" s="122">
        <f>D36</f>
        <v>0</v>
      </c>
      <c r="BB16" s="122">
        <f>D35</f>
        <v>0</v>
      </c>
      <c r="BC16" s="122"/>
      <c r="BD16" s="163"/>
      <c r="BE16" s="163"/>
      <c r="BF16" s="165"/>
      <c r="BG16" s="165"/>
      <c r="BH16" s="165"/>
      <c r="BI16" s="165"/>
      <c r="BJ16" s="165"/>
      <c r="BK16" s="165"/>
      <c r="BL16" s="165"/>
      <c r="BM16" s="165"/>
      <c r="BN16" s="165"/>
      <c r="BO16" s="165"/>
      <c r="BP16" s="165"/>
      <c r="BQ16" s="165"/>
      <c r="BR16" s="165"/>
      <c r="BS16" s="165"/>
      <c r="BT16" s="165"/>
      <c r="BU16" s="165"/>
      <c r="BV16" s="165"/>
      <c r="BW16" s="165"/>
      <c r="BX16" s="165"/>
      <c r="BY16" s="165"/>
      <c r="BZ16" s="165"/>
      <c r="CA16" s="165"/>
      <c r="CB16" s="165"/>
      <c r="CC16" s="165"/>
      <c r="CD16" s="165"/>
      <c r="CE16" s="165"/>
      <c r="CF16" s="165"/>
      <c r="CG16" s="165"/>
      <c r="CH16" s="165"/>
      <c r="CI16" s="165"/>
      <c r="CJ16" s="165"/>
      <c r="CK16" s="165"/>
      <c r="CL16" s="165"/>
      <c r="CM16" s="165"/>
      <c r="CN16" s="165"/>
      <c r="CO16" s="165"/>
      <c r="CP16" s="165"/>
      <c r="CQ16" s="165"/>
      <c r="CR16" s="165"/>
      <c r="CS16" s="165"/>
      <c r="CT16" s="165"/>
      <c r="CU16" s="165"/>
      <c r="CV16" s="165"/>
      <c r="CW16" s="165"/>
      <c r="CX16" s="165"/>
      <c r="CY16" s="165"/>
      <c r="CZ16" s="165"/>
      <c r="DA16" s="165"/>
      <c r="DB16" s="75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</row>
    <row r="17" ht="27" customHeight="1" spans="1:181">
      <c r="A17" s="167" t="s">
        <v>64</v>
      </c>
      <c r="B17" s="44">
        <v>0</v>
      </c>
      <c r="C17" s="45">
        <f>SUM(B16:B17)</f>
        <v>0</v>
      </c>
      <c r="D17" s="46">
        <v>0</v>
      </c>
      <c r="E17" s="47">
        <f>SUM(D16:D17)</f>
        <v>0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 s="44"/>
      <c r="AI17" s="45"/>
      <c r="AJ17" s="44"/>
      <c r="AK17" s="93"/>
      <c r="AL17" s="93"/>
      <c r="AM17" s="93"/>
      <c r="AN17" s="93"/>
      <c r="AO17" s="93"/>
      <c r="AP17" s="93"/>
      <c r="AQ17" s="135"/>
      <c r="AR17" s="136"/>
      <c r="AS17" s="138"/>
      <c r="AT17" s="122">
        <v>2.5</v>
      </c>
      <c r="AU17" s="122">
        <v>3</v>
      </c>
      <c r="AV17" s="122">
        <v>3</v>
      </c>
      <c r="AW17" s="122">
        <v>2.5</v>
      </c>
      <c r="AX17" s="122">
        <v>3</v>
      </c>
      <c r="AY17" s="122">
        <v>3</v>
      </c>
      <c r="AZ17" s="122">
        <v>2.5</v>
      </c>
      <c r="BA17" s="122">
        <v>3</v>
      </c>
      <c r="BB17" s="122">
        <v>3</v>
      </c>
      <c r="BC17" s="122"/>
      <c r="BD17" s="163"/>
      <c r="BE17" s="163"/>
      <c r="BF17" s="151"/>
      <c r="BG17" s="151"/>
      <c r="BH17" s="151"/>
      <c r="BI17" s="151"/>
      <c r="BJ17" s="151"/>
      <c r="BK17" s="151"/>
      <c r="BL17" s="151"/>
      <c r="BM17" s="151"/>
      <c r="BN17" s="151"/>
      <c r="BO17" s="151"/>
      <c r="BP17" s="151"/>
      <c r="BQ17" s="151"/>
      <c r="BR17" s="151"/>
      <c r="BS17" s="151"/>
      <c r="BT17" s="151"/>
      <c r="BU17" s="151"/>
      <c r="BV17" s="151"/>
      <c r="BW17" s="151"/>
      <c r="BX17" s="151"/>
      <c r="BY17" s="151"/>
      <c r="BZ17" s="151"/>
      <c r="CA17" s="151"/>
      <c r="CB17" s="151"/>
      <c r="CC17" s="151"/>
      <c r="CD17" s="151"/>
      <c r="CE17" s="151"/>
      <c r="CF17" s="151"/>
      <c r="CG17" s="151"/>
      <c r="CH17" s="151"/>
      <c r="CI17" s="151"/>
      <c r="CJ17" s="151"/>
      <c r="CK17" s="151"/>
      <c r="CL17" s="151"/>
      <c r="CM17" s="151"/>
      <c r="CN17" s="151"/>
      <c r="CO17" s="151"/>
      <c r="CP17" s="151"/>
      <c r="CQ17" s="151"/>
      <c r="CR17" s="151"/>
      <c r="CS17" s="151"/>
      <c r="CT17" s="151"/>
      <c r="CU17" s="151"/>
      <c r="CV17" s="151"/>
      <c r="CW17" s="151"/>
      <c r="CX17" s="151"/>
      <c r="CY17" s="151"/>
      <c r="CZ17" s="151"/>
      <c r="DA17" s="151"/>
      <c r="DB17" s="75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</row>
    <row r="18" ht="27" customHeight="1" spans="1:181">
      <c r="A18" s="167" t="s">
        <v>65</v>
      </c>
      <c r="B18" s="48">
        <v>0</v>
      </c>
      <c r="C18" s="45">
        <f>SUM(B16:B18)</f>
        <v>0</v>
      </c>
      <c r="D18" s="46">
        <v>0</v>
      </c>
      <c r="E18" s="47">
        <f>SUM(D16:D18)</f>
        <v>0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 s="44"/>
      <c r="AI18" s="45"/>
      <c r="AJ18" s="44"/>
      <c r="AK18" s="93"/>
      <c r="AL18" s="93"/>
      <c r="AM18" s="93"/>
      <c r="AN18" s="93"/>
      <c r="AO18" s="93"/>
      <c r="AP18" s="93"/>
      <c r="AQ18" s="135"/>
      <c r="AR18" s="136"/>
      <c r="AS18" s="138"/>
      <c r="AT18" s="121">
        <f>D17</f>
        <v>0</v>
      </c>
      <c r="AU18" s="121">
        <f>D17</f>
        <v>0</v>
      </c>
      <c r="AV18" s="121">
        <f>D16</f>
        <v>0</v>
      </c>
      <c r="AW18" s="121">
        <f>D26</f>
        <v>0</v>
      </c>
      <c r="AX18" s="121">
        <f>D26</f>
        <v>0</v>
      </c>
      <c r="AY18" s="121">
        <f>D25</f>
        <v>0</v>
      </c>
      <c r="AZ18" s="122">
        <f>D35</f>
        <v>0</v>
      </c>
      <c r="BA18" s="122">
        <f>D35</f>
        <v>0</v>
      </c>
      <c r="BB18" s="122">
        <f>D34</f>
        <v>0</v>
      </c>
      <c r="BC18" s="122"/>
      <c r="BD18" s="163"/>
      <c r="BE18" s="163"/>
      <c r="BF18" s="151"/>
      <c r="BG18" s="151"/>
      <c r="BH18" s="151"/>
      <c r="BI18" s="151"/>
      <c r="BJ18" s="151"/>
      <c r="BK18" s="151"/>
      <c r="BL18" s="151"/>
      <c r="BM18" s="151"/>
      <c r="BN18" s="151"/>
      <c r="BO18" s="151"/>
      <c r="BP18" s="151"/>
      <c r="BQ18" s="151"/>
      <c r="BR18" s="151"/>
      <c r="BS18" s="151"/>
      <c r="BT18" s="151"/>
      <c r="BU18" s="151"/>
      <c r="BV18" s="151"/>
      <c r="BW18" s="151"/>
      <c r="BX18" s="151"/>
      <c r="BY18" s="151"/>
      <c r="BZ18" s="151"/>
      <c r="CA18" s="151"/>
      <c r="CB18" s="151"/>
      <c r="CC18" s="151"/>
      <c r="CD18" s="151"/>
      <c r="CE18" s="151"/>
      <c r="CF18" s="151"/>
      <c r="CG18" s="151"/>
      <c r="CH18" s="151"/>
      <c r="CI18" s="151"/>
      <c r="CJ18" s="151"/>
      <c r="CK18" s="151"/>
      <c r="CL18" s="151"/>
      <c r="CM18" s="151"/>
      <c r="CN18" s="151"/>
      <c r="CO18" s="151"/>
      <c r="CP18" s="151"/>
      <c r="CQ18" s="151"/>
      <c r="CR18" s="151"/>
      <c r="CS18" s="151"/>
      <c r="CT18" s="151"/>
      <c r="CU18" s="151"/>
      <c r="CV18" s="151"/>
      <c r="CW18" s="151"/>
      <c r="CX18" s="151"/>
      <c r="CY18" s="151"/>
      <c r="CZ18" s="151"/>
      <c r="DA18" s="151"/>
      <c r="DB18" s="75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</row>
    <row r="19" ht="27" customHeight="1" spans="1:181">
      <c r="A19" s="167" t="s">
        <v>66</v>
      </c>
      <c r="B19" s="48">
        <v>0</v>
      </c>
      <c r="C19" s="45">
        <f>SUM(B16:B19)</f>
        <v>0</v>
      </c>
      <c r="D19" s="46">
        <v>0</v>
      </c>
      <c r="E19" s="47">
        <f>SUM(D16:D19)</f>
        <v>0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 s="44"/>
      <c r="AI19" s="45"/>
      <c r="AJ19" s="44"/>
      <c r="AK19" s="93"/>
      <c r="AL19" s="93"/>
      <c r="AM19" s="93"/>
      <c r="AN19" s="93"/>
      <c r="AO19" s="93"/>
      <c r="AP19" s="93"/>
      <c r="AQ19" s="135"/>
      <c r="AR19" s="136"/>
      <c r="AS19" s="138"/>
      <c r="AT19" s="122">
        <v>3</v>
      </c>
      <c r="AU19" s="122">
        <v>3.5</v>
      </c>
      <c r="AV19" s="122">
        <v>3.5</v>
      </c>
      <c r="AW19" s="122">
        <v>3</v>
      </c>
      <c r="AX19" s="122">
        <v>3.5</v>
      </c>
      <c r="AY19" s="122">
        <v>3.5</v>
      </c>
      <c r="AZ19" s="122">
        <v>3</v>
      </c>
      <c r="BA19" s="122">
        <v>3.5</v>
      </c>
      <c r="BB19" s="122">
        <v>3.5</v>
      </c>
      <c r="BC19" s="122"/>
      <c r="BD19" s="163"/>
      <c r="BE19" s="163"/>
      <c r="BF19" s="151"/>
      <c r="BG19" s="151"/>
      <c r="BH19" s="151"/>
      <c r="BI19" s="151"/>
      <c r="BJ19" s="151"/>
      <c r="BK19" s="151"/>
      <c r="BL19" s="151"/>
      <c r="BM19" s="151"/>
      <c r="BN19" s="151"/>
      <c r="BO19" s="151"/>
      <c r="BP19" s="151"/>
      <c r="BQ19" s="151"/>
      <c r="BR19" s="151"/>
      <c r="BS19" s="151"/>
      <c r="BT19" s="151"/>
      <c r="BU19" s="151"/>
      <c r="BV19" s="151"/>
      <c r="BW19" s="151"/>
      <c r="BX19" s="151"/>
      <c r="BY19" s="151"/>
      <c r="BZ19" s="151"/>
      <c r="CA19" s="151"/>
      <c r="CB19" s="151"/>
      <c r="CC19" s="151"/>
      <c r="CD19" s="151"/>
      <c r="CE19" s="151"/>
      <c r="CF19" s="151"/>
      <c r="CG19" s="151"/>
      <c r="CH19" s="151"/>
      <c r="CI19" s="151"/>
      <c r="CJ19" s="151"/>
      <c r="CK19" s="151"/>
      <c r="CL19" s="151"/>
      <c r="CM19" s="151"/>
      <c r="CN19" s="151"/>
      <c r="CO19" s="151"/>
      <c r="CP19" s="151"/>
      <c r="CQ19" s="151"/>
      <c r="CR19" s="151"/>
      <c r="CS19" s="151"/>
      <c r="CT19" s="151"/>
      <c r="CU19" s="151"/>
      <c r="CV19" s="151"/>
      <c r="CW19" s="151"/>
      <c r="CX19" s="151"/>
      <c r="CY19" s="151"/>
      <c r="CZ19" s="151"/>
      <c r="DA19" s="151"/>
      <c r="DB19" s="75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</row>
    <row r="20" ht="27" customHeight="1" spans="1:181">
      <c r="A20" s="167" t="s">
        <v>67</v>
      </c>
      <c r="B20" s="48">
        <v>0</v>
      </c>
      <c r="C20" s="45">
        <f>SUM(B16:B20)</f>
        <v>0</v>
      </c>
      <c r="D20" s="46">
        <v>0</v>
      </c>
      <c r="E20" s="47">
        <f>SUM(D16:D20)</f>
        <v>0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 s="44"/>
      <c r="AI20" s="45"/>
      <c r="AJ20" s="44"/>
      <c r="AK20" s="93"/>
      <c r="AL20" s="93"/>
      <c r="AM20" s="93"/>
      <c r="AN20" s="93"/>
      <c r="AO20" s="93"/>
      <c r="AP20" s="93"/>
      <c r="AQ20" s="135"/>
      <c r="AR20" s="136"/>
      <c r="AS20" s="138"/>
      <c r="AT20" s="139">
        <f>D16</f>
        <v>0</v>
      </c>
      <c r="AU20" s="140">
        <f>D16</f>
        <v>0</v>
      </c>
      <c r="AV20" s="141">
        <v>0</v>
      </c>
      <c r="AW20" s="140">
        <f>D25</f>
        <v>0</v>
      </c>
      <c r="AX20" s="140">
        <f>D25</f>
        <v>0</v>
      </c>
      <c r="AY20" s="141">
        <v>0</v>
      </c>
      <c r="AZ20" s="141">
        <f>D34</f>
        <v>0</v>
      </c>
      <c r="BA20" s="141">
        <f>D34</f>
        <v>0</v>
      </c>
      <c r="BB20" s="141">
        <v>0</v>
      </c>
      <c r="BC20" s="122"/>
      <c r="BD20" s="163"/>
      <c r="BE20" s="163"/>
      <c r="BF20" s="151"/>
      <c r="BG20" s="151"/>
      <c r="BH20" s="151"/>
      <c r="BI20" s="151"/>
      <c r="BJ20" s="151"/>
      <c r="BK20" s="151"/>
      <c r="BL20" s="151"/>
      <c r="BM20" s="151"/>
      <c r="BN20" s="151"/>
      <c r="BO20" s="151"/>
      <c r="BP20" s="151"/>
      <c r="BQ20" s="151"/>
      <c r="BR20" s="151"/>
      <c r="BS20" s="151"/>
      <c r="BT20" s="151"/>
      <c r="BU20" s="151"/>
      <c r="BV20" s="151"/>
      <c r="BW20" s="151"/>
      <c r="BX20" s="151"/>
      <c r="BY20" s="151"/>
      <c r="BZ20" s="151"/>
      <c r="CA20" s="151"/>
      <c r="CB20" s="151"/>
      <c r="CC20" s="151"/>
      <c r="CD20" s="151"/>
      <c r="CE20" s="151"/>
      <c r="CF20" s="151"/>
      <c r="CG20" s="151"/>
      <c r="CH20" s="151"/>
      <c r="CI20" s="151"/>
      <c r="CJ20" s="151"/>
      <c r="CK20" s="151"/>
      <c r="CL20" s="151"/>
      <c r="CM20" s="151"/>
      <c r="CN20" s="151"/>
      <c r="CO20" s="151"/>
      <c r="CP20" s="151"/>
      <c r="CQ20" s="151"/>
      <c r="CR20" s="151"/>
      <c r="CS20" s="151"/>
      <c r="CT20" s="151"/>
      <c r="CU20" s="151"/>
      <c r="CV20" s="151"/>
      <c r="CW20" s="151"/>
      <c r="CX20" s="151"/>
      <c r="CY20" s="151"/>
      <c r="CZ20" s="151"/>
      <c r="DA20" s="151"/>
      <c r="DB20" s="75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</row>
    <row r="21" ht="27" customHeight="1" spans="1:181">
      <c r="A21" s="167" t="s">
        <v>68</v>
      </c>
      <c r="B21" s="48">
        <v>0</v>
      </c>
      <c r="C21" s="45">
        <f>SUM(B16:B21)</f>
        <v>0</v>
      </c>
      <c r="D21" s="46">
        <v>0</v>
      </c>
      <c r="E21" s="47">
        <f>SUM(D16:D21)</f>
        <v>0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 s="44"/>
      <c r="AI21" s="45"/>
      <c r="AJ21" s="44"/>
      <c r="AK21" s="93"/>
      <c r="AL21" s="93"/>
      <c r="AM21" s="93"/>
      <c r="AN21" s="93"/>
      <c r="AO21" s="93"/>
      <c r="AP21" s="93"/>
      <c r="AQ21" s="135"/>
      <c r="AR21" s="136"/>
      <c r="AS21" s="138"/>
      <c r="AT21" s="142">
        <v>3.5</v>
      </c>
      <c r="AU21" s="141">
        <v>4</v>
      </c>
      <c r="AV21" s="141">
        <v>4</v>
      </c>
      <c r="AW21" s="142">
        <v>3.5</v>
      </c>
      <c r="AX21" s="141">
        <v>4</v>
      </c>
      <c r="AY21" s="141">
        <v>4</v>
      </c>
      <c r="AZ21" s="141">
        <v>3.5</v>
      </c>
      <c r="BA21" s="141">
        <v>4</v>
      </c>
      <c r="BB21" s="141">
        <v>4</v>
      </c>
      <c r="BC21" s="141"/>
      <c r="BD21" s="145"/>
      <c r="BE21" s="145"/>
      <c r="BF21" s="151"/>
      <c r="BG21" s="151"/>
      <c r="BH21" s="151"/>
      <c r="BI21" s="151"/>
      <c r="BJ21" s="151"/>
      <c r="BK21" s="151"/>
      <c r="BL21" s="151"/>
      <c r="BM21" s="151"/>
      <c r="BN21" s="151"/>
      <c r="BO21" s="151"/>
      <c r="BP21" s="151"/>
      <c r="BQ21" s="151"/>
      <c r="BR21" s="151"/>
      <c r="BS21" s="151"/>
      <c r="BT21" s="151"/>
      <c r="BU21" s="151"/>
      <c r="BV21" s="151"/>
      <c r="BW21" s="151"/>
      <c r="BX21" s="151"/>
      <c r="BY21" s="151"/>
      <c r="BZ21" s="151"/>
      <c r="CA21" s="151"/>
      <c r="CB21" s="151"/>
      <c r="CC21" s="151"/>
      <c r="CD21" s="151"/>
      <c r="CE21" s="151"/>
      <c r="CF21" s="151"/>
      <c r="CG21" s="151"/>
      <c r="CH21" s="151"/>
      <c r="CI21" s="151"/>
      <c r="CJ21" s="151"/>
      <c r="CK21" s="151"/>
      <c r="CL21" s="151"/>
      <c r="CM21" s="151"/>
      <c r="CN21" s="151"/>
      <c r="CO21" s="151"/>
      <c r="CP21" s="151"/>
      <c r="CQ21" s="151"/>
      <c r="CR21" s="151"/>
      <c r="CS21" s="151"/>
      <c r="CT21" s="151"/>
      <c r="CU21" s="151"/>
      <c r="CV21" s="151"/>
      <c r="CW21" s="151"/>
      <c r="CX21" s="151"/>
      <c r="CY21" s="151"/>
      <c r="CZ21" s="151"/>
      <c r="DA21" s="151"/>
      <c r="DB21" s="75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</row>
    <row r="22" ht="27" customHeight="1" spans="1:181">
      <c r="A22" s="167" t="s">
        <v>69</v>
      </c>
      <c r="B22" s="44">
        <v>0</v>
      </c>
      <c r="C22" s="45">
        <f>SUM(B16:B22)</f>
        <v>0</v>
      </c>
      <c r="D22" s="46">
        <v>0</v>
      </c>
      <c r="E22" s="47">
        <f>SUM(D16:D22)</f>
        <v>0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 s="44"/>
      <c r="AI22" s="45"/>
      <c r="AJ22" s="44"/>
      <c r="AK22" s="93"/>
      <c r="AL22" s="93"/>
      <c r="AM22" s="93"/>
      <c r="AN22" s="93"/>
      <c r="AO22" s="93"/>
      <c r="AP22" s="93"/>
      <c r="AQ22" s="135"/>
      <c r="AR22" s="136"/>
      <c r="AS22" s="138"/>
      <c r="AT22" s="142"/>
      <c r="AU22" s="141"/>
      <c r="AV22" s="141"/>
      <c r="AW22" s="141"/>
      <c r="AX22" s="141"/>
      <c r="AY22" s="141"/>
      <c r="AZ22" s="141"/>
      <c r="BA22" s="141"/>
      <c r="BB22" s="141"/>
      <c r="BC22" s="141"/>
      <c r="BD22" s="145"/>
      <c r="BE22" s="145"/>
      <c r="BF22" s="151"/>
      <c r="BG22" s="151"/>
      <c r="BH22" s="151"/>
      <c r="BI22" s="151"/>
      <c r="BJ22" s="151"/>
      <c r="BK22" s="151"/>
      <c r="BL22" s="151"/>
      <c r="BM22" s="151"/>
      <c r="BN22" s="151"/>
      <c r="BO22" s="151"/>
      <c r="BP22" s="151"/>
      <c r="BQ22" s="151"/>
      <c r="BR22" s="151"/>
      <c r="BS22" s="151"/>
      <c r="BT22" s="151"/>
      <c r="BU22" s="151"/>
      <c r="BV22" s="151"/>
      <c r="BW22" s="151"/>
      <c r="BX22" s="151"/>
      <c r="BY22" s="151"/>
      <c r="BZ22" s="151"/>
      <c r="CA22" s="151"/>
      <c r="CB22" s="151"/>
      <c r="CC22" s="151"/>
      <c r="CD22" s="151"/>
      <c r="CE22" s="151"/>
      <c r="CF22" s="151"/>
      <c r="CG22" s="151"/>
      <c r="CH22" s="151"/>
      <c r="CI22" s="151"/>
      <c r="CJ22" s="151"/>
      <c r="CK22" s="151"/>
      <c r="CL22" s="151"/>
      <c r="CM22" s="151"/>
      <c r="CN22" s="151"/>
      <c r="CO22" s="151"/>
      <c r="CP22" s="151"/>
      <c r="CQ22" s="151"/>
      <c r="CR22" s="151"/>
      <c r="CS22" s="151"/>
      <c r="CT22" s="151"/>
      <c r="CU22" s="151"/>
      <c r="CV22" s="151"/>
      <c r="CW22" s="151"/>
      <c r="CX22" s="151"/>
      <c r="CY22" s="151"/>
      <c r="CZ22" s="151"/>
      <c r="DA22" s="151"/>
      <c r="DB22" s="75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</row>
    <row r="23" ht="27" customHeight="1" spans="1:181">
      <c r="A23" s="168" t="s">
        <v>70</v>
      </c>
      <c r="B23" s="50">
        <v>0</v>
      </c>
      <c r="C23" s="51">
        <f>SUM(B16:B23)</f>
        <v>0</v>
      </c>
      <c r="D23" s="52">
        <v>0</v>
      </c>
      <c r="E23" s="53">
        <f>SUM(D16:D23)</f>
        <v>0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 s="44"/>
      <c r="AI23" s="45"/>
      <c r="AJ23" s="44"/>
      <c r="AK23" s="93"/>
      <c r="AL23" s="93"/>
      <c r="AM23" s="93"/>
      <c r="AN23" s="93"/>
      <c r="AO23" s="93"/>
      <c r="AP23" s="93"/>
      <c r="AQ23" s="135"/>
      <c r="AR23" s="136"/>
      <c r="AS23" s="143"/>
      <c r="AT23" s="144"/>
      <c r="AU23" s="145"/>
      <c r="AV23" s="145"/>
      <c r="AW23" s="145"/>
      <c r="AX23" s="145"/>
      <c r="AY23" s="145"/>
      <c r="AZ23" s="145"/>
      <c r="BA23" s="145"/>
      <c r="BB23" s="145"/>
      <c r="BC23" s="145"/>
      <c r="BD23" s="145"/>
      <c r="BE23" s="145"/>
      <c r="BF23" s="151"/>
      <c r="BG23" s="151"/>
      <c r="BH23" s="151"/>
      <c r="BI23" s="151"/>
      <c r="BJ23" s="151"/>
      <c r="BK23" s="151"/>
      <c r="BL23" s="151"/>
      <c r="BM23" s="151"/>
      <c r="BN23" s="151"/>
      <c r="BO23" s="151"/>
      <c r="BP23" s="151"/>
      <c r="BQ23" s="151"/>
      <c r="BR23" s="151"/>
      <c r="BS23" s="151"/>
      <c r="BT23" s="151"/>
      <c r="BU23" s="151"/>
      <c r="BV23" s="151"/>
      <c r="BW23" s="151"/>
      <c r="BX23" s="151"/>
      <c r="BY23" s="151"/>
      <c r="BZ23" s="151"/>
      <c r="CA23" s="151"/>
      <c r="CB23" s="151"/>
      <c r="CC23" s="151"/>
      <c r="CD23" s="151"/>
      <c r="CE23" s="151"/>
      <c r="CF23" s="151"/>
      <c r="CG23" s="151"/>
      <c r="CH23" s="151"/>
      <c r="CI23" s="151"/>
      <c r="CJ23" s="151"/>
      <c r="CK23" s="151"/>
      <c r="CL23" s="151"/>
      <c r="CM23" s="151"/>
      <c r="CN23" s="151"/>
      <c r="CO23" s="151"/>
      <c r="CP23" s="151"/>
      <c r="CQ23" s="151"/>
      <c r="CR23" s="151"/>
      <c r="CS23" s="151"/>
      <c r="CT23" s="151"/>
      <c r="CU23" s="151"/>
      <c r="CV23" s="151"/>
      <c r="CW23" s="151"/>
      <c r="CX23" s="151"/>
      <c r="CY23" s="151"/>
      <c r="CZ23" s="151"/>
      <c r="DA23" s="151"/>
      <c r="DB23" s="75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</row>
    <row r="24" ht="36" customHeight="1" spans="1:181">
      <c r="A24" s="54" t="s">
        <v>71</v>
      </c>
      <c r="B24" s="55">
        <f>SUM(B16:B23)</f>
        <v>0</v>
      </c>
      <c r="C24" s="56"/>
      <c r="D24" s="57">
        <f>SUM(D16:D23)</f>
        <v>0</v>
      </c>
      <c r="E24" s="58"/>
      <c r="F24" s="59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94"/>
      <c r="AH24" s="95"/>
      <c r="AI24" s="96"/>
      <c r="AJ24" s="97">
        <f t="shared" ref="AJ24:AR24" si="0">SUM(AJ16:AJ23)</f>
        <v>0</v>
      </c>
      <c r="AK24" s="97">
        <f t="shared" si="0"/>
        <v>0</v>
      </c>
      <c r="AL24" s="97">
        <f t="shared" si="0"/>
        <v>0</v>
      </c>
      <c r="AM24" s="97">
        <f t="shared" si="0"/>
        <v>0</v>
      </c>
      <c r="AN24" s="97">
        <f t="shared" si="0"/>
        <v>0</v>
      </c>
      <c r="AO24" s="97">
        <f t="shared" si="0"/>
        <v>0</v>
      </c>
      <c r="AP24" s="97">
        <f t="shared" si="0"/>
        <v>0</v>
      </c>
      <c r="AQ24" s="97">
        <f t="shared" si="0"/>
        <v>0</v>
      </c>
      <c r="AR24" s="97">
        <f t="shared" si="0"/>
        <v>0</v>
      </c>
      <c r="AS24" s="146" t="s">
        <v>72</v>
      </c>
      <c r="AT24" s="147"/>
      <c r="AU24" s="145"/>
      <c r="AV24" s="145"/>
      <c r="AW24" s="145"/>
      <c r="AX24" s="145"/>
      <c r="AY24" s="145"/>
      <c r="AZ24" s="145"/>
      <c r="BA24" s="145"/>
      <c r="BB24" s="145"/>
      <c r="BC24" s="145"/>
      <c r="BD24" s="145"/>
      <c r="BE24" s="145"/>
      <c r="BF24" s="151"/>
      <c r="BG24" s="151"/>
      <c r="BH24" s="151"/>
      <c r="BI24" s="151"/>
      <c r="BJ24" s="151"/>
      <c r="BK24" s="151"/>
      <c r="BL24" s="151"/>
      <c r="BM24" s="151"/>
      <c r="BN24" s="151"/>
      <c r="BO24" s="151"/>
      <c r="BP24" s="151"/>
      <c r="BQ24" s="151"/>
      <c r="BR24" s="151"/>
      <c r="BS24" s="151"/>
      <c r="BT24" s="151"/>
      <c r="BU24" s="151"/>
      <c r="BV24" s="151"/>
      <c r="BW24" s="151"/>
      <c r="BX24" s="151"/>
      <c r="BY24" s="151"/>
      <c r="BZ24" s="151"/>
      <c r="CA24" s="151"/>
      <c r="CB24" s="151"/>
      <c r="CC24" s="151"/>
      <c r="CD24" s="151"/>
      <c r="CE24" s="151"/>
      <c r="CF24" s="151"/>
      <c r="CG24" s="151"/>
      <c r="CH24" s="151"/>
      <c r="CI24" s="151"/>
      <c r="CJ24" s="151"/>
      <c r="CK24" s="151"/>
      <c r="CL24" s="151"/>
      <c r="CM24" s="151"/>
      <c r="CN24" s="151"/>
      <c r="CO24" s="151"/>
      <c r="CP24" s="151"/>
      <c r="CQ24" s="151"/>
      <c r="CR24" s="151"/>
      <c r="CS24" s="151"/>
      <c r="CT24" s="151"/>
      <c r="CU24" s="151"/>
      <c r="CV24" s="151"/>
      <c r="CW24" s="151"/>
      <c r="CX24" s="151"/>
      <c r="CY24" s="151"/>
      <c r="CZ24" s="151"/>
      <c r="DA24" s="151"/>
      <c r="DB24" s="75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</row>
    <row r="25" ht="27" customHeight="1" spans="1:181">
      <c r="A25" s="166" t="s">
        <v>73</v>
      </c>
      <c r="B25" s="39">
        <v>0</v>
      </c>
      <c r="C25" s="40">
        <f>B25</f>
        <v>0</v>
      </c>
      <c r="D25" s="61">
        <v>0</v>
      </c>
      <c r="E25" s="42">
        <f>D25</f>
        <v>0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 s="44"/>
      <c r="AI25" s="45"/>
      <c r="AJ25" s="44"/>
      <c r="AK25" s="93"/>
      <c r="AL25" s="93"/>
      <c r="AM25" s="93"/>
      <c r="AN25" s="93"/>
      <c r="AO25" s="93"/>
      <c r="AP25" s="93"/>
      <c r="AQ25" s="135"/>
      <c r="AR25" s="148"/>
      <c r="AS25" s="149"/>
      <c r="AT25" s="147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51"/>
      <c r="BG25" s="151"/>
      <c r="BH25" s="151"/>
      <c r="BI25" s="151"/>
      <c r="BJ25" s="151"/>
      <c r="BK25" s="151"/>
      <c r="BL25" s="151"/>
      <c r="BM25" s="151"/>
      <c r="BN25" s="151"/>
      <c r="BO25" s="151"/>
      <c r="BP25" s="151"/>
      <c r="BQ25" s="151"/>
      <c r="BR25" s="151"/>
      <c r="BS25" s="151"/>
      <c r="BT25" s="151"/>
      <c r="BU25" s="151"/>
      <c r="BV25" s="151"/>
      <c r="BW25" s="151"/>
      <c r="BX25" s="151"/>
      <c r="BY25" s="151"/>
      <c r="BZ25" s="151"/>
      <c r="CA25" s="151"/>
      <c r="CB25" s="151"/>
      <c r="CC25" s="151"/>
      <c r="CD25" s="151"/>
      <c r="CE25" s="151"/>
      <c r="CF25" s="151"/>
      <c r="CG25" s="151"/>
      <c r="CH25" s="151"/>
      <c r="CI25" s="151"/>
      <c r="CJ25" s="151"/>
      <c r="CK25" s="151"/>
      <c r="CL25" s="151"/>
      <c r="CM25" s="151"/>
      <c r="CN25" s="151"/>
      <c r="CO25" s="151"/>
      <c r="CP25" s="151"/>
      <c r="CQ25" s="151"/>
      <c r="CR25" s="151"/>
      <c r="CS25" s="151"/>
      <c r="CT25" s="151"/>
      <c r="CU25" s="151"/>
      <c r="CV25" s="151"/>
      <c r="CW25" s="151"/>
      <c r="CX25" s="151"/>
      <c r="CY25" s="151"/>
      <c r="CZ25" s="151"/>
      <c r="DA25" s="151"/>
      <c r="DB25" s="75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</row>
    <row r="26" ht="27" customHeight="1" spans="1:181">
      <c r="A26" s="167" t="s">
        <v>74</v>
      </c>
      <c r="B26" s="44">
        <v>0</v>
      </c>
      <c r="C26" s="45">
        <f>SUM(B25:B26)</f>
        <v>0</v>
      </c>
      <c r="D26" s="62">
        <v>0</v>
      </c>
      <c r="E26" s="47">
        <f>SUM(D25:D26)</f>
        <v>0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 s="44"/>
      <c r="AI26" s="45"/>
      <c r="AJ26" s="44"/>
      <c r="AK26" s="93"/>
      <c r="AL26" s="93"/>
      <c r="AM26" s="93"/>
      <c r="AN26" s="93"/>
      <c r="AO26" s="93"/>
      <c r="AP26" s="93"/>
      <c r="AQ26" s="135"/>
      <c r="AR26" s="148"/>
      <c r="AS26" s="149"/>
      <c r="AT26" s="147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51"/>
      <c r="BG26" s="151"/>
      <c r="BH26" s="151"/>
      <c r="BI26" s="151"/>
      <c r="BJ26" s="151"/>
      <c r="BK26" s="151"/>
      <c r="BL26" s="151"/>
      <c r="BM26" s="151"/>
      <c r="BN26" s="151"/>
      <c r="BO26" s="151"/>
      <c r="BP26" s="151"/>
      <c r="BQ26" s="151"/>
      <c r="BR26" s="151"/>
      <c r="BS26" s="151"/>
      <c r="BT26" s="151"/>
      <c r="BU26" s="151"/>
      <c r="BV26" s="151"/>
      <c r="BW26" s="151"/>
      <c r="BX26" s="151"/>
      <c r="BY26" s="151"/>
      <c r="BZ26" s="151"/>
      <c r="CA26" s="151"/>
      <c r="CB26" s="151"/>
      <c r="CC26" s="151"/>
      <c r="CD26" s="151"/>
      <c r="CE26" s="151"/>
      <c r="CF26" s="151"/>
      <c r="CG26" s="151"/>
      <c r="CH26" s="151"/>
      <c r="CI26" s="151"/>
      <c r="CJ26" s="151"/>
      <c r="CK26" s="151"/>
      <c r="CL26" s="151"/>
      <c r="CM26" s="151"/>
      <c r="CN26" s="151"/>
      <c r="CO26" s="151"/>
      <c r="CP26" s="151"/>
      <c r="CQ26" s="151"/>
      <c r="CR26" s="151"/>
      <c r="CS26" s="151"/>
      <c r="CT26" s="151"/>
      <c r="CU26" s="151"/>
      <c r="CV26" s="151"/>
      <c r="CW26" s="151"/>
      <c r="CX26" s="151"/>
      <c r="CY26" s="151"/>
      <c r="CZ26" s="151"/>
      <c r="DA26" s="151"/>
      <c r="DB26" s="75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</row>
    <row r="27" ht="27" customHeight="1" spans="1:181">
      <c r="A27" s="167" t="s">
        <v>75</v>
      </c>
      <c r="B27" s="48">
        <v>0</v>
      </c>
      <c r="C27" s="45">
        <f>SUM(B25:B27)</f>
        <v>0</v>
      </c>
      <c r="D27" s="62">
        <v>0</v>
      </c>
      <c r="E27" s="47">
        <f>SUM(D25:D27)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 s="44"/>
      <c r="AI27" s="45"/>
      <c r="AJ27" s="44"/>
      <c r="AK27" s="93"/>
      <c r="AL27" s="93"/>
      <c r="AM27" s="93"/>
      <c r="AN27" s="93"/>
      <c r="AO27" s="93"/>
      <c r="AP27" s="93"/>
      <c r="AQ27" s="135"/>
      <c r="AR27" s="148"/>
      <c r="AS27" s="149"/>
      <c r="AT27" s="147"/>
      <c r="AU27" s="145"/>
      <c r="AV27" s="145"/>
      <c r="AW27" s="145"/>
      <c r="AX27" s="145"/>
      <c r="AY27" s="145"/>
      <c r="AZ27" s="145"/>
      <c r="BA27" s="145"/>
      <c r="BB27" s="145"/>
      <c r="BC27" s="145"/>
      <c r="BD27" s="145"/>
      <c r="BE27" s="145"/>
      <c r="BF27" s="151"/>
      <c r="BG27" s="151"/>
      <c r="BH27" s="151"/>
      <c r="BI27" s="151"/>
      <c r="BJ27" s="151"/>
      <c r="BK27" s="151"/>
      <c r="BL27" s="151"/>
      <c r="BM27" s="151"/>
      <c r="BN27" s="151"/>
      <c r="BO27" s="151"/>
      <c r="BP27" s="151"/>
      <c r="BQ27" s="151"/>
      <c r="BR27" s="151"/>
      <c r="BS27" s="151"/>
      <c r="BT27" s="151"/>
      <c r="BU27" s="151"/>
      <c r="BV27" s="151"/>
      <c r="BW27" s="151"/>
      <c r="BX27" s="151"/>
      <c r="BY27" s="151"/>
      <c r="BZ27" s="151"/>
      <c r="CA27" s="151"/>
      <c r="CB27" s="151"/>
      <c r="CC27" s="151"/>
      <c r="CD27" s="151"/>
      <c r="CE27" s="151"/>
      <c r="CF27" s="151"/>
      <c r="CG27" s="151"/>
      <c r="CH27" s="151"/>
      <c r="CI27" s="151"/>
      <c r="CJ27" s="151"/>
      <c r="CK27" s="151"/>
      <c r="CL27" s="151"/>
      <c r="CM27" s="151"/>
      <c r="CN27" s="151"/>
      <c r="CO27" s="151"/>
      <c r="CP27" s="151"/>
      <c r="CQ27" s="151"/>
      <c r="CR27" s="151"/>
      <c r="CS27" s="151"/>
      <c r="CT27" s="151"/>
      <c r="CU27" s="151"/>
      <c r="CV27" s="151"/>
      <c r="CW27" s="151"/>
      <c r="CX27" s="151"/>
      <c r="CY27" s="151"/>
      <c r="CZ27" s="151"/>
      <c r="DA27" s="151"/>
      <c r="DB27" s="75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</row>
    <row r="28" ht="27" customHeight="1" spans="1:181">
      <c r="A28" s="167" t="s">
        <v>76</v>
      </c>
      <c r="B28" s="48">
        <v>0</v>
      </c>
      <c r="C28" s="45">
        <f>SUM(B25:B28)</f>
        <v>0</v>
      </c>
      <c r="D28" s="62">
        <v>0</v>
      </c>
      <c r="E28" s="47">
        <f>SUM(D25:D28)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 s="44"/>
      <c r="AI28" s="45"/>
      <c r="AJ28" s="44"/>
      <c r="AK28" s="93"/>
      <c r="AL28" s="93"/>
      <c r="AM28" s="93"/>
      <c r="AN28" s="93"/>
      <c r="AO28" s="93"/>
      <c r="AP28" s="93"/>
      <c r="AQ28" s="135"/>
      <c r="AR28" s="148"/>
      <c r="AS28" s="149"/>
      <c r="AT28" s="147"/>
      <c r="AU28" s="145"/>
      <c r="AV28" s="145"/>
      <c r="AW28" s="145"/>
      <c r="AX28" s="145"/>
      <c r="AY28" s="145"/>
      <c r="AZ28" s="145"/>
      <c r="BA28" s="145"/>
      <c r="BB28" s="145"/>
      <c r="BC28" s="145"/>
      <c r="BD28" s="145"/>
      <c r="BE28" s="145"/>
      <c r="BF28" s="151"/>
      <c r="BG28" s="151"/>
      <c r="BH28" s="151"/>
      <c r="BI28" s="151"/>
      <c r="BJ28" s="151"/>
      <c r="BK28" s="151"/>
      <c r="BL28" s="151"/>
      <c r="BM28" s="151"/>
      <c r="BN28" s="151"/>
      <c r="BO28" s="151"/>
      <c r="BP28" s="151"/>
      <c r="BQ28" s="151"/>
      <c r="BR28" s="151"/>
      <c r="BS28" s="151"/>
      <c r="BT28" s="151"/>
      <c r="BU28" s="151"/>
      <c r="BV28" s="151"/>
      <c r="BW28" s="151"/>
      <c r="BX28" s="151"/>
      <c r="BY28" s="151"/>
      <c r="BZ28" s="151"/>
      <c r="CA28" s="151"/>
      <c r="CB28" s="151"/>
      <c r="CC28" s="151"/>
      <c r="CD28" s="151"/>
      <c r="CE28" s="151"/>
      <c r="CF28" s="151"/>
      <c r="CG28" s="151"/>
      <c r="CH28" s="151"/>
      <c r="CI28" s="151"/>
      <c r="CJ28" s="151"/>
      <c r="CK28" s="151"/>
      <c r="CL28" s="151"/>
      <c r="CM28" s="151"/>
      <c r="CN28" s="151"/>
      <c r="CO28" s="151"/>
      <c r="CP28" s="151"/>
      <c r="CQ28" s="151"/>
      <c r="CR28" s="151"/>
      <c r="CS28" s="151"/>
      <c r="CT28" s="151"/>
      <c r="CU28" s="151"/>
      <c r="CV28" s="151"/>
      <c r="CW28" s="151"/>
      <c r="CX28" s="151"/>
      <c r="CY28" s="151"/>
      <c r="CZ28" s="151"/>
      <c r="DA28" s="151"/>
      <c r="DB28" s="75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</row>
    <row r="29" ht="27" customHeight="1" spans="1:181">
      <c r="A29" s="167" t="s">
        <v>77</v>
      </c>
      <c r="B29" s="48">
        <v>0</v>
      </c>
      <c r="C29" s="45">
        <f>SUM(B25:B29)</f>
        <v>0</v>
      </c>
      <c r="D29" s="62">
        <v>0</v>
      </c>
      <c r="E29" s="47">
        <f>SUM(D25:D29)</f>
        <v>0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 s="44"/>
      <c r="AI29" s="45"/>
      <c r="AJ29" s="44"/>
      <c r="AK29" s="93"/>
      <c r="AL29" s="93"/>
      <c r="AM29" s="93"/>
      <c r="AN29" s="93"/>
      <c r="AO29" s="93"/>
      <c r="AP29" s="93"/>
      <c r="AQ29" s="135"/>
      <c r="AR29" s="148"/>
      <c r="AS29" s="149"/>
      <c r="AT29" s="147"/>
      <c r="AU29" s="145"/>
      <c r="AV29" s="145"/>
      <c r="AW29" s="145"/>
      <c r="AX29" s="145"/>
      <c r="AY29" s="145"/>
      <c r="AZ29" s="145"/>
      <c r="BA29" s="145"/>
      <c r="BB29" s="145"/>
      <c r="BC29" s="145"/>
      <c r="BD29" s="145"/>
      <c r="BE29" s="145"/>
      <c r="BF29" s="151"/>
      <c r="BG29" s="151"/>
      <c r="BH29" s="151"/>
      <c r="BI29" s="151"/>
      <c r="BJ29" s="151"/>
      <c r="BK29" s="151"/>
      <c r="BL29" s="151"/>
      <c r="BM29" s="151"/>
      <c r="BN29" s="151"/>
      <c r="BO29" s="151"/>
      <c r="BP29" s="151"/>
      <c r="BQ29" s="151"/>
      <c r="BR29" s="151"/>
      <c r="BS29" s="151"/>
      <c r="BT29" s="151"/>
      <c r="BU29" s="151"/>
      <c r="BV29" s="151"/>
      <c r="BW29" s="151"/>
      <c r="BX29" s="151"/>
      <c r="BY29" s="151"/>
      <c r="BZ29" s="151"/>
      <c r="CA29" s="151"/>
      <c r="CB29" s="151"/>
      <c r="CC29" s="151"/>
      <c r="CD29" s="151"/>
      <c r="CE29" s="151"/>
      <c r="CF29" s="151"/>
      <c r="CG29" s="151"/>
      <c r="CH29" s="151"/>
      <c r="CI29" s="151"/>
      <c r="CJ29" s="151"/>
      <c r="CK29" s="151"/>
      <c r="CL29" s="151"/>
      <c r="CM29" s="151"/>
      <c r="CN29" s="151"/>
      <c r="CO29" s="151"/>
      <c r="CP29" s="151"/>
      <c r="CQ29" s="151"/>
      <c r="CR29" s="151"/>
      <c r="CS29" s="151"/>
      <c r="CT29" s="151"/>
      <c r="CU29" s="151"/>
      <c r="CV29" s="151"/>
      <c r="CW29" s="151"/>
      <c r="CX29" s="151"/>
      <c r="CY29" s="151"/>
      <c r="CZ29" s="151"/>
      <c r="DA29" s="151"/>
      <c r="DB29" s="75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</row>
    <row r="30" ht="27" customHeight="1" spans="1:181">
      <c r="A30" s="167" t="s">
        <v>78</v>
      </c>
      <c r="B30" s="48">
        <v>0</v>
      </c>
      <c r="C30" s="45">
        <f>SUM(B25:B30)</f>
        <v>0</v>
      </c>
      <c r="D30" s="62">
        <v>0</v>
      </c>
      <c r="E30" s="47">
        <f>SUM(D25:D30)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 s="44"/>
      <c r="AI30" s="45"/>
      <c r="AJ30" s="44"/>
      <c r="AK30" s="93"/>
      <c r="AL30" s="93"/>
      <c r="AM30" s="93"/>
      <c r="AN30" s="93"/>
      <c r="AO30" s="93"/>
      <c r="AP30" s="93"/>
      <c r="AQ30" s="135"/>
      <c r="AR30" s="148"/>
      <c r="AS30" s="149"/>
      <c r="AT30" s="147"/>
      <c r="AU30" s="145"/>
      <c r="AV30" s="145"/>
      <c r="AW30" s="145"/>
      <c r="AX30" s="145"/>
      <c r="AY30" s="145"/>
      <c r="AZ30" s="145"/>
      <c r="BA30" s="145"/>
      <c r="BB30" s="145"/>
      <c r="BC30" s="145"/>
      <c r="BD30" s="145"/>
      <c r="BE30" s="145"/>
      <c r="BF30" s="151"/>
      <c r="BG30" s="151"/>
      <c r="BH30" s="151"/>
      <c r="BI30" s="151"/>
      <c r="BJ30" s="151"/>
      <c r="BK30" s="151"/>
      <c r="BL30" s="151"/>
      <c r="BM30" s="151"/>
      <c r="BN30" s="151"/>
      <c r="BO30" s="151"/>
      <c r="BP30" s="151"/>
      <c r="BQ30" s="151"/>
      <c r="BR30" s="151"/>
      <c r="BS30" s="151"/>
      <c r="BT30" s="151"/>
      <c r="BU30" s="151"/>
      <c r="BV30" s="151"/>
      <c r="BW30" s="151"/>
      <c r="BX30" s="151"/>
      <c r="BY30" s="151"/>
      <c r="BZ30" s="151"/>
      <c r="CA30" s="151"/>
      <c r="CB30" s="151"/>
      <c r="CC30" s="151"/>
      <c r="CD30" s="151"/>
      <c r="CE30" s="151"/>
      <c r="CF30" s="151"/>
      <c r="CG30" s="151"/>
      <c r="CH30" s="151"/>
      <c r="CI30" s="151"/>
      <c r="CJ30" s="151"/>
      <c r="CK30" s="151"/>
      <c r="CL30" s="151"/>
      <c r="CM30" s="151"/>
      <c r="CN30" s="151"/>
      <c r="CO30" s="151"/>
      <c r="CP30" s="151"/>
      <c r="CQ30" s="151"/>
      <c r="CR30" s="151"/>
      <c r="CS30" s="151"/>
      <c r="CT30" s="151"/>
      <c r="CU30" s="151"/>
      <c r="CV30" s="151"/>
      <c r="CW30" s="151"/>
      <c r="CX30" s="151"/>
      <c r="CY30" s="151"/>
      <c r="CZ30" s="151"/>
      <c r="DA30" s="151"/>
      <c r="DB30" s="75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</row>
    <row r="31" ht="27" customHeight="1" spans="1:181">
      <c r="A31" s="167" t="s">
        <v>79</v>
      </c>
      <c r="B31" s="44">
        <v>0</v>
      </c>
      <c r="C31" s="45">
        <f>SUM(B25:B31)</f>
        <v>0</v>
      </c>
      <c r="D31" s="62">
        <v>0</v>
      </c>
      <c r="E31" s="47">
        <f>SUM(D25:D31)</f>
        <v>0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 s="44"/>
      <c r="AI31" s="45"/>
      <c r="AJ31" s="44"/>
      <c r="AK31" s="93"/>
      <c r="AL31" s="93"/>
      <c r="AM31" s="93"/>
      <c r="AN31" s="93"/>
      <c r="AO31" s="93"/>
      <c r="AP31" s="93"/>
      <c r="AQ31" s="135"/>
      <c r="AR31" s="148"/>
      <c r="AS31" s="149"/>
      <c r="AT31" s="150"/>
      <c r="AU31" s="151"/>
      <c r="AV31" s="151"/>
      <c r="AW31" s="151"/>
      <c r="AX31" s="151"/>
      <c r="AY31" s="151"/>
      <c r="AZ31" s="151"/>
      <c r="BA31" s="151"/>
      <c r="BB31" s="151"/>
      <c r="BC31" s="151"/>
      <c r="BD31" s="151"/>
      <c r="BE31" s="151"/>
      <c r="BF31" s="151"/>
      <c r="BG31" s="151"/>
      <c r="BH31" s="151"/>
      <c r="BI31" s="151"/>
      <c r="BJ31" s="151"/>
      <c r="BK31" s="151"/>
      <c r="BL31" s="151"/>
      <c r="BM31" s="151"/>
      <c r="BN31" s="151"/>
      <c r="BO31" s="151"/>
      <c r="BP31" s="151"/>
      <c r="BQ31" s="151"/>
      <c r="BR31" s="151"/>
      <c r="BS31" s="151"/>
      <c r="BT31" s="151"/>
      <c r="BU31" s="151"/>
      <c r="BV31" s="151"/>
      <c r="BW31" s="151"/>
      <c r="BX31" s="151"/>
      <c r="BY31" s="151"/>
      <c r="BZ31" s="151"/>
      <c r="CA31" s="151"/>
      <c r="CB31" s="151"/>
      <c r="CC31" s="151"/>
      <c r="CD31" s="151"/>
      <c r="CE31" s="151"/>
      <c r="CF31" s="151"/>
      <c r="CG31" s="151"/>
      <c r="CH31" s="151"/>
      <c r="CI31" s="151"/>
      <c r="CJ31" s="151"/>
      <c r="CK31" s="151"/>
      <c r="CL31" s="151"/>
      <c r="CM31" s="151"/>
      <c r="CN31" s="151"/>
      <c r="CO31" s="151"/>
      <c r="CP31" s="151"/>
      <c r="CQ31" s="151"/>
      <c r="CR31" s="151"/>
      <c r="CS31" s="151"/>
      <c r="CT31" s="151"/>
      <c r="CU31" s="151"/>
      <c r="CV31" s="151"/>
      <c r="CW31" s="151"/>
      <c r="CX31" s="151"/>
      <c r="CY31" s="151"/>
      <c r="CZ31" s="151"/>
      <c r="DA31" s="151"/>
      <c r="DB31" s="75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</row>
    <row r="32" ht="27" customHeight="1" spans="1:181">
      <c r="A32" s="168" t="s">
        <v>80</v>
      </c>
      <c r="B32" s="50">
        <v>0</v>
      </c>
      <c r="C32" s="51">
        <f>SUM(B25:B32)</f>
        <v>0</v>
      </c>
      <c r="D32" s="63">
        <v>0</v>
      </c>
      <c r="E32" s="53">
        <f>SUM(D25:D32)</f>
        <v>0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 s="44"/>
      <c r="AI32" s="45"/>
      <c r="AJ32" s="44"/>
      <c r="AK32" s="93"/>
      <c r="AL32" s="93"/>
      <c r="AM32" s="93"/>
      <c r="AN32" s="93"/>
      <c r="AO32" s="93"/>
      <c r="AP32" s="93"/>
      <c r="AQ32" s="135"/>
      <c r="AR32" s="148"/>
      <c r="AS32" s="149"/>
      <c r="AT32" s="150"/>
      <c r="AU32" s="151"/>
      <c r="AV32" s="151"/>
      <c r="AW32" s="151"/>
      <c r="AX32" s="151"/>
      <c r="AY32" s="151"/>
      <c r="AZ32" s="151"/>
      <c r="BA32" s="151"/>
      <c r="BB32" s="151"/>
      <c r="BC32" s="151"/>
      <c r="BD32" s="151"/>
      <c r="BE32" s="151"/>
      <c r="BF32" s="151"/>
      <c r="BG32" s="151"/>
      <c r="BH32" s="151"/>
      <c r="BI32" s="151"/>
      <c r="BJ32" s="151"/>
      <c r="BK32" s="151"/>
      <c r="BL32" s="151"/>
      <c r="BM32" s="151"/>
      <c r="BN32" s="151"/>
      <c r="BO32" s="151"/>
      <c r="BP32" s="151"/>
      <c r="BQ32" s="151"/>
      <c r="BR32" s="151"/>
      <c r="BS32" s="151"/>
      <c r="BT32" s="151"/>
      <c r="BU32" s="151"/>
      <c r="BV32" s="151"/>
      <c r="BW32" s="151"/>
      <c r="BX32" s="151"/>
      <c r="BY32" s="151"/>
      <c r="BZ32" s="151"/>
      <c r="CA32" s="151"/>
      <c r="CB32" s="151"/>
      <c r="CC32" s="151"/>
      <c r="CD32" s="151"/>
      <c r="CE32" s="151"/>
      <c r="CF32" s="151"/>
      <c r="CG32" s="151"/>
      <c r="CH32" s="151"/>
      <c r="CI32" s="151"/>
      <c r="CJ32" s="151"/>
      <c r="CK32" s="151"/>
      <c r="CL32" s="151"/>
      <c r="CM32" s="151"/>
      <c r="CN32" s="151"/>
      <c r="CO32" s="151"/>
      <c r="CP32" s="151"/>
      <c r="CQ32" s="151"/>
      <c r="CR32" s="151"/>
      <c r="CS32" s="151"/>
      <c r="CT32" s="151"/>
      <c r="CU32" s="151"/>
      <c r="CV32" s="151"/>
      <c r="CW32" s="151"/>
      <c r="CX32" s="151"/>
      <c r="CY32" s="151"/>
      <c r="CZ32" s="151"/>
      <c r="DA32" s="151"/>
      <c r="DB32" s="75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</row>
    <row r="33" ht="30" customHeight="1" spans="1:181">
      <c r="A33" s="54" t="s">
        <v>81</v>
      </c>
      <c r="B33" s="55">
        <f>SUM(B25:B32)</f>
        <v>0</v>
      </c>
      <c r="C33" s="56"/>
      <c r="D33" s="57">
        <f>SUM(D25:D32)</f>
        <v>0</v>
      </c>
      <c r="E33" s="64"/>
      <c r="F33" s="59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94"/>
      <c r="AH33" s="95"/>
      <c r="AI33" s="96"/>
      <c r="AJ33" s="97">
        <f t="shared" ref="AJ33:AR33" si="1">SUM(AJ25:AJ32)</f>
        <v>0</v>
      </c>
      <c r="AK33" s="97">
        <f t="shared" si="1"/>
        <v>0</v>
      </c>
      <c r="AL33" s="97">
        <f t="shared" si="1"/>
        <v>0</v>
      </c>
      <c r="AM33" s="97">
        <f t="shared" si="1"/>
        <v>0</v>
      </c>
      <c r="AN33" s="97">
        <f t="shared" si="1"/>
        <v>0</v>
      </c>
      <c r="AO33" s="97">
        <f t="shared" si="1"/>
        <v>0</v>
      </c>
      <c r="AP33" s="97">
        <f t="shared" si="1"/>
        <v>0</v>
      </c>
      <c r="AQ33" s="97">
        <f t="shared" si="1"/>
        <v>0</v>
      </c>
      <c r="AR33" s="97">
        <f t="shared" si="1"/>
        <v>0</v>
      </c>
      <c r="AS33" s="152" t="s">
        <v>72</v>
      </c>
      <c r="AT33" s="150"/>
      <c r="AU33" s="151"/>
      <c r="AV33" s="151"/>
      <c r="AW33" s="151"/>
      <c r="AX33" s="151"/>
      <c r="AY33" s="151"/>
      <c r="AZ33" s="151"/>
      <c r="BA33" s="151"/>
      <c r="BB33" s="151"/>
      <c r="BC33" s="151"/>
      <c r="BD33" s="151"/>
      <c r="BE33" s="151"/>
      <c r="BF33" s="151"/>
      <c r="BG33" s="151"/>
      <c r="BH33" s="151"/>
      <c r="BI33" s="151"/>
      <c r="BJ33" s="151"/>
      <c r="BK33" s="151"/>
      <c r="BL33" s="151"/>
      <c r="BM33" s="151"/>
      <c r="BN33" s="151"/>
      <c r="BO33" s="151"/>
      <c r="BP33" s="151"/>
      <c r="BQ33" s="151"/>
      <c r="BR33" s="151"/>
      <c r="BS33" s="151"/>
      <c r="BT33" s="151"/>
      <c r="BU33" s="151"/>
      <c r="BV33" s="151"/>
      <c r="BW33" s="151"/>
      <c r="BX33" s="151"/>
      <c r="BY33" s="151"/>
      <c r="BZ33" s="151"/>
      <c r="CA33" s="151"/>
      <c r="CB33" s="151"/>
      <c r="CC33" s="151"/>
      <c r="CD33" s="151"/>
      <c r="CE33" s="151"/>
      <c r="CF33" s="151"/>
      <c r="CG33" s="151"/>
      <c r="CH33" s="151"/>
      <c r="CI33" s="151"/>
      <c r="CJ33" s="151"/>
      <c r="CK33" s="151"/>
      <c r="CL33" s="151"/>
      <c r="CM33" s="151"/>
      <c r="CN33" s="151"/>
      <c r="CO33" s="151"/>
      <c r="CP33" s="151"/>
      <c r="CQ33" s="151"/>
      <c r="CR33" s="151"/>
      <c r="CS33" s="151"/>
      <c r="CT33" s="151"/>
      <c r="CU33" s="151"/>
      <c r="CV33" s="151"/>
      <c r="CW33" s="151"/>
      <c r="CX33" s="151"/>
      <c r="CY33" s="151"/>
      <c r="CZ33" s="151"/>
      <c r="DA33" s="151"/>
      <c r="DB33" s="75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</row>
    <row r="34" ht="27" customHeight="1" spans="1:181">
      <c r="A34" s="166" t="s">
        <v>82</v>
      </c>
      <c r="B34" s="39">
        <v>0</v>
      </c>
      <c r="C34" s="40">
        <f>B34</f>
        <v>0</v>
      </c>
      <c r="D34" s="61">
        <v>0</v>
      </c>
      <c r="E34" s="42">
        <f>D34</f>
        <v>0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 s="44"/>
      <c r="AI34" s="45"/>
      <c r="AJ34" s="44"/>
      <c r="AK34" s="93"/>
      <c r="AL34" s="93"/>
      <c r="AM34" s="93"/>
      <c r="AN34" s="93"/>
      <c r="AO34" s="93"/>
      <c r="AP34" s="93"/>
      <c r="AQ34" s="135"/>
      <c r="AR34" s="148"/>
      <c r="AS34" s="149"/>
      <c r="AT34" s="150"/>
      <c r="AU34" s="151"/>
      <c r="AV34" s="151"/>
      <c r="AW34" s="151"/>
      <c r="AX34" s="151"/>
      <c r="AY34" s="151"/>
      <c r="AZ34" s="151"/>
      <c r="BA34" s="151"/>
      <c r="BB34" s="151"/>
      <c r="BC34" s="151"/>
      <c r="BD34" s="151"/>
      <c r="BE34" s="151"/>
      <c r="BF34" s="151"/>
      <c r="BG34" s="151"/>
      <c r="BH34" s="151"/>
      <c r="BI34" s="151"/>
      <c r="BJ34" s="151"/>
      <c r="BK34" s="151"/>
      <c r="BL34" s="151"/>
      <c r="BM34" s="151"/>
      <c r="BN34" s="151"/>
      <c r="BO34" s="151"/>
      <c r="BP34" s="151"/>
      <c r="BQ34" s="151"/>
      <c r="BR34" s="151"/>
      <c r="BS34" s="151"/>
      <c r="BT34" s="151"/>
      <c r="BU34" s="151"/>
      <c r="BV34" s="151"/>
      <c r="BW34" s="151"/>
      <c r="BX34" s="151"/>
      <c r="BY34" s="151"/>
      <c r="BZ34" s="151"/>
      <c r="CA34" s="151"/>
      <c r="CB34" s="151"/>
      <c r="CC34" s="151"/>
      <c r="CD34" s="151"/>
      <c r="CE34" s="151"/>
      <c r="CF34" s="151"/>
      <c r="CG34" s="151"/>
      <c r="CH34" s="151"/>
      <c r="CI34" s="151"/>
      <c r="CJ34" s="151"/>
      <c r="CK34" s="151"/>
      <c r="CL34" s="151"/>
      <c r="CM34" s="151"/>
      <c r="CN34" s="151"/>
      <c r="CO34" s="151"/>
      <c r="CP34" s="151"/>
      <c r="CQ34" s="151"/>
      <c r="CR34" s="151"/>
      <c r="CS34" s="151"/>
      <c r="CT34" s="151"/>
      <c r="CU34" s="151"/>
      <c r="CV34" s="151"/>
      <c r="CW34" s="151"/>
      <c r="CX34" s="151"/>
      <c r="CY34" s="151"/>
      <c r="CZ34" s="151"/>
      <c r="DA34" s="151"/>
      <c r="DB34" s="75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</row>
    <row r="35" ht="27" customHeight="1" spans="1:181">
      <c r="A35" s="167" t="s">
        <v>83</v>
      </c>
      <c r="B35" s="44">
        <v>0</v>
      </c>
      <c r="C35" s="45">
        <f>SUM(B34:B35)</f>
        <v>0</v>
      </c>
      <c r="D35" s="62">
        <v>0</v>
      </c>
      <c r="E35" s="47">
        <f>SUM(D34:D35)</f>
        <v>0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 s="44"/>
      <c r="AI35" s="45"/>
      <c r="AJ35" s="44"/>
      <c r="AK35" s="93"/>
      <c r="AL35" s="93"/>
      <c r="AM35" s="93"/>
      <c r="AN35" s="93"/>
      <c r="AO35" s="93"/>
      <c r="AP35" s="93"/>
      <c r="AQ35" s="135"/>
      <c r="AR35" s="148"/>
      <c r="AS35" s="149"/>
      <c r="AT35" s="150"/>
      <c r="AU35" s="151"/>
      <c r="AV35" s="151"/>
      <c r="AW35" s="151"/>
      <c r="AX35" s="151"/>
      <c r="AY35" s="151"/>
      <c r="AZ35" s="151"/>
      <c r="BA35" s="151"/>
      <c r="BB35" s="151"/>
      <c r="BC35" s="151"/>
      <c r="BD35" s="151"/>
      <c r="BE35" s="151"/>
      <c r="BF35" s="151"/>
      <c r="BG35" s="151"/>
      <c r="BH35" s="151"/>
      <c r="BI35" s="151"/>
      <c r="BJ35" s="151"/>
      <c r="BK35" s="151"/>
      <c r="BL35" s="151"/>
      <c r="BM35" s="151"/>
      <c r="BN35" s="151"/>
      <c r="BO35" s="151"/>
      <c r="BP35" s="151"/>
      <c r="BQ35" s="151"/>
      <c r="BR35" s="151"/>
      <c r="BS35" s="151"/>
      <c r="BT35" s="151"/>
      <c r="BU35" s="151"/>
      <c r="BV35" s="151"/>
      <c r="BW35" s="151"/>
      <c r="BX35" s="151"/>
      <c r="BY35" s="151"/>
      <c r="BZ35" s="151"/>
      <c r="CA35" s="151"/>
      <c r="CB35" s="151"/>
      <c r="CC35" s="151"/>
      <c r="CD35" s="151"/>
      <c r="CE35" s="151"/>
      <c r="CF35" s="151"/>
      <c r="CG35" s="151"/>
      <c r="CH35" s="151"/>
      <c r="CI35" s="151"/>
      <c r="CJ35" s="151"/>
      <c r="CK35" s="151"/>
      <c r="CL35" s="151"/>
      <c r="CM35" s="151"/>
      <c r="CN35" s="151"/>
      <c r="CO35" s="151"/>
      <c r="CP35" s="151"/>
      <c r="CQ35" s="151"/>
      <c r="CR35" s="151"/>
      <c r="CS35" s="151"/>
      <c r="CT35" s="151"/>
      <c r="CU35" s="151"/>
      <c r="CV35" s="151"/>
      <c r="CW35" s="151"/>
      <c r="CX35" s="151"/>
      <c r="CY35" s="151"/>
      <c r="CZ35" s="151"/>
      <c r="DA35" s="151"/>
      <c r="DB35" s="75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</row>
    <row r="36" ht="27" customHeight="1" spans="1:181">
      <c r="A36" s="167" t="s">
        <v>84</v>
      </c>
      <c r="B36" s="48">
        <v>0</v>
      </c>
      <c r="C36" s="45">
        <f>SUM(B34:B36)</f>
        <v>0</v>
      </c>
      <c r="D36" s="62">
        <v>0</v>
      </c>
      <c r="E36" s="47">
        <f>SUM(D34:D36)</f>
        <v>0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 s="44"/>
      <c r="AI36" s="45"/>
      <c r="AJ36" s="44"/>
      <c r="AK36" s="93"/>
      <c r="AL36" s="93"/>
      <c r="AM36" s="93"/>
      <c r="AN36" s="93"/>
      <c r="AO36" s="93"/>
      <c r="AP36" s="93"/>
      <c r="AQ36" s="135"/>
      <c r="AR36" s="148"/>
      <c r="AS36" s="149"/>
      <c r="AT36" s="150"/>
      <c r="AU36" s="151"/>
      <c r="AV36" s="151"/>
      <c r="AW36" s="151"/>
      <c r="AX36" s="151"/>
      <c r="AY36" s="151"/>
      <c r="AZ36" s="151"/>
      <c r="BA36" s="151"/>
      <c r="BB36" s="151"/>
      <c r="BC36" s="151"/>
      <c r="BD36" s="151"/>
      <c r="BE36" s="151"/>
      <c r="BF36" s="151"/>
      <c r="BG36" s="151"/>
      <c r="BH36" s="151"/>
      <c r="BI36" s="151"/>
      <c r="BJ36" s="151"/>
      <c r="BK36" s="151"/>
      <c r="BL36" s="151"/>
      <c r="BM36" s="151"/>
      <c r="BN36" s="151"/>
      <c r="BO36" s="151"/>
      <c r="BP36" s="151"/>
      <c r="BQ36" s="151"/>
      <c r="BR36" s="151"/>
      <c r="BS36" s="151"/>
      <c r="BT36" s="151"/>
      <c r="BU36" s="151"/>
      <c r="BV36" s="151"/>
      <c r="BW36" s="151"/>
      <c r="BX36" s="151"/>
      <c r="BY36" s="151"/>
      <c r="BZ36" s="151"/>
      <c r="CA36" s="151"/>
      <c r="CB36" s="151"/>
      <c r="CC36" s="151"/>
      <c r="CD36" s="151"/>
      <c r="CE36" s="151"/>
      <c r="CF36" s="151"/>
      <c r="CG36" s="151"/>
      <c r="CH36" s="151"/>
      <c r="CI36" s="151"/>
      <c r="CJ36" s="151"/>
      <c r="CK36" s="151"/>
      <c r="CL36" s="151"/>
      <c r="CM36" s="151"/>
      <c r="CN36" s="151"/>
      <c r="CO36" s="151"/>
      <c r="CP36" s="151"/>
      <c r="CQ36" s="151"/>
      <c r="CR36" s="151"/>
      <c r="CS36" s="151"/>
      <c r="CT36" s="151"/>
      <c r="CU36" s="151"/>
      <c r="CV36" s="151"/>
      <c r="CW36" s="151"/>
      <c r="CX36" s="151"/>
      <c r="CY36" s="151"/>
      <c r="CZ36" s="151"/>
      <c r="DA36" s="151"/>
      <c r="DB36" s="75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</row>
    <row r="37" ht="27" customHeight="1" spans="1:181">
      <c r="A37" s="167" t="s">
        <v>85</v>
      </c>
      <c r="B37" s="48">
        <v>0</v>
      </c>
      <c r="C37" s="45">
        <f>SUM(B34:B37)</f>
        <v>0</v>
      </c>
      <c r="D37" s="62">
        <v>0</v>
      </c>
      <c r="E37" s="47">
        <f>SUM(D34:D37)</f>
        <v>0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 s="44"/>
      <c r="AI37" s="45"/>
      <c r="AJ37" s="44"/>
      <c r="AK37" s="93"/>
      <c r="AL37" s="93"/>
      <c r="AM37" s="93"/>
      <c r="AN37" s="93"/>
      <c r="AO37" s="93"/>
      <c r="AP37" s="93"/>
      <c r="AQ37" s="135"/>
      <c r="AR37" s="148"/>
      <c r="AS37" s="149"/>
      <c r="AT37" s="150"/>
      <c r="AU37" s="151"/>
      <c r="AV37" s="151"/>
      <c r="AW37" s="151"/>
      <c r="AX37" s="151"/>
      <c r="AY37" s="151"/>
      <c r="AZ37" s="151"/>
      <c r="BA37" s="151"/>
      <c r="BB37" s="151"/>
      <c r="BC37" s="151"/>
      <c r="BD37" s="151"/>
      <c r="BE37" s="151"/>
      <c r="BF37" s="151"/>
      <c r="BG37" s="151"/>
      <c r="BH37" s="151"/>
      <c r="BI37" s="151"/>
      <c r="BJ37" s="151"/>
      <c r="BK37" s="151"/>
      <c r="BL37" s="151"/>
      <c r="BM37" s="151"/>
      <c r="BN37" s="151"/>
      <c r="BO37" s="151"/>
      <c r="BP37" s="151"/>
      <c r="BQ37" s="151"/>
      <c r="BR37" s="151"/>
      <c r="BS37" s="151"/>
      <c r="BT37" s="151"/>
      <c r="BU37" s="151"/>
      <c r="BV37" s="151"/>
      <c r="BW37" s="151"/>
      <c r="BX37" s="151"/>
      <c r="BY37" s="151"/>
      <c r="BZ37" s="151"/>
      <c r="CA37" s="151"/>
      <c r="CB37" s="151"/>
      <c r="CC37" s="151"/>
      <c r="CD37" s="151"/>
      <c r="CE37" s="151"/>
      <c r="CF37" s="151"/>
      <c r="CG37" s="151"/>
      <c r="CH37" s="151"/>
      <c r="CI37" s="151"/>
      <c r="CJ37" s="151"/>
      <c r="CK37" s="151"/>
      <c r="CL37" s="151"/>
      <c r="CM37" s="151"/>
      <c r="CN37" s="151"/>
      <c r="CO37" s="151"/>
      <c r="CP37" s="151"/>
      <c r="CQ37" s="151"/>
      <c r="CR37" s="151"/>
      <c r="CS37" s="151"/>
      <c r="CT37" s="151"/>
      <c r="CU37" s="151"/>
      <c r="CV37" s="151"/>
      <c r="CW37" s="151"/>
      <c r="CX37" s="151"/>
      <c r="CY37" s="151"/>
      <c r="CZ37" s="151"/>
      <c r="DA37" s="151"/>
      <c r="DB37" s="75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</row>
    <row r="38" ht="27" customHeight="1" spans="1:181">
      <c r="A38" s="167" t="s">
        <v>86</v>
      </c>
      <c r="B38" s="48">
        <v>0</v>
      </c>
      <c r="C38" s="45">
        <f>SUM(B34:B38)</f>
        <v>0</v>
      </c>
      <c r="D38" s="62">
        <v>0</v>
      </c>
      <c r="E38" s="47">
        <f>SUM(D34:D38)</f>
        <v>0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 s="44"/>
      <c r="AI38" s="45"/>
      <c r="AJ38" s="44"/>
      <c r="AK38" s="93"/>
      <c r="AL38" s="93"/>
      <c r="AM38" s="93"/>
      <c r="AN38" s="93"/>
      <c r="AO38" s="93"/>
      <c r="AP38" s="93"/>
      <c r="AQ38" s="135"/>
      <c r="AR38" s="148"/>
      <c r="AS38" s="149"/>
      <c r="AT38" s="150"/>
      <c r="AU38" s="151"/>
      <c r="AV38" s="151"/>
      <c r="AW38" s="151"/>
      <c r="AX38" s="151"/>
      <c r="AY38" s="151"/>
      <c r="AZ38" s="151"/>
      <c r="BA38" s="151"/>
      <c r="BB38" s="151"/>
      <c r="BC38" s="151"/>
      <c r="BD38" s="151"/>
      <c r="BE38" s="151"/>
      <c r="BF38" s="151"/>
      <c r="BG38" s="151"/>
      <c r="BH38" s="151"/>
      <c r="BI38" s="151"/>
      <c r="BJ38" s="151"/>
      <c r="BK38" s="151"/>
      <c r="BL38" s="151"/>
      <c r="BM38" s="151"/>
      <c r="BN38" s="151"/>
      <c r="BO38" s="151"/>
      <c r="BP38" s="151"/>
      <c r="BQ38" s="151"/>
      <c r="BR38" s="151"/>
      <c r="BS38" s="151"/>
      <c r="BT38" s="151"/>
      <c r="BU38" s="151"/>
      <c r="BV38" s="151"/>
      <c r="BW38" s="151"/>
      <c r="BX38" s="151"/>
      <c r="BY38" s="151"/>
      <c r="BZ38" s="151"/>
      <c r="CA38" s="151"/>
      <c r="CB38" s="151"/>
      <c r="CC38" s="151"/>
      <c r="CD38" s="151"/>
      <c r="CE38" s="151"/>
      <c r="CF38" s="151"/>
      <c r="CG38" s="151"/>
      <c r="CH38" s="151"/>
      <c r="CI38" s="151"/>
      <c r="CJ38" s="151"/>
      <c r="CK38" s="151"/>
      <c r="CL38" s="151"/>
      <c r="CM38" s="151"/>
      <c r="CN38" s="151"/>
      <c r="CO38" s="151"/>
      <c r="CP38" s="151"/>
      <c r="CQ38" s="151"/>
      <c r="CR38" s="151"/>
      <c r="CS38" s="151"/>
      <c r="CT38" s="151"/>
      <c r="CU38" s="151"/>
      <c r="CV38" s="151"/>
      <c r="CW38" s="151"/>
      <c r="CX38" s="151"/>
      <c r="CY38" s="151"/>
      <c r="CZ38" s="151"/>
      <c r="DA38" s="151"/>
      <c r="DB38" s="75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</row>
    <row r="39" ht="27" customHeight="1" spans="1:181">
      <c r="A39" s="167" t="s">
        <v>87</v>
      </c>
      <c r="B39" s="48">
        <v>0</v>
      </c>
      <c r="C39" s="45">
        <f>SUM(B34:B39)</f>
        <v>0</v>
      </c>
      <c r="D39" s="62">
        <v>0</v>
      </c>
      <c r="E39" s="47">
        <f>SUM(D34:D39)</f>
        <v>0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 s="44"/>
      <c r="AI39" s="45"/>
      <c r="AJ39" s="44"/>
      <c r="AK39" s="93"/>
      <c r="AL39" s="93"/>
      <c r="AM39" s="93"/>
      <c r="AN39" s="93"/>
      <c r="AO39" s="93"/>
      <c r="AP39" s="93"/>
      <c r="AQ39" s="135"/>
      <c r="AR39" s="148"/>
      <c r="AS39" s="149"/>
      <c r="AT39" s="150"/>
      <c r="AU39" s="151"/>
      <c r="AV39" s="151"/>
      <c r="AW39" s="151"/>
      <c r="AX39" s="151"/>
      <c r="AY39" s="151"/>
      <c r="AZ39" s="151"/>
      <c r="BA39" s="151"/>
      <c r="BB39" s="151"/>
      <c r="BC39" s="151"/>
      <c r="BD39" s="151"/>
      <c r="BE39" s="151"/>
      <c r="BF39" s="151"/>
      <c r="BG39" s="151"/>
      <c r="BH39" s="151"/>
      <c r="BI39" s="151"/>
      <c r="BJ39" s="151"/>
      <c r="BK39" s="151"/>
      <c r="BL39" s="151"/>
      <c r="BM39" s="151"/>
      <c r="BN39" s="151"/>
      <c r="BO39" s="151"/>
      <c r="BP39" s="151"/>
      <c r="BQ39" s="151"/>
      <c r="BR39" s="151"/>
      <c r="BS39" s="151"/>
      <c r="BT39" s="151"/>
      <c r="BU39" s="151"/>
      <c r="BV39" s="151"/>
      <c r="BW39" s="151"/>
      <c r="BX39" s="151"/>
      <c r="BY39" s="151"/>
      <c r="BZ39" s="151"/>
      <c r="CA39" s="151"/>
      <c r="CB39" s="151"/>
      <c r="CC39" s="151"/>
      <c r="CD39" s="151"/>
      <c r="CE39" s="151"/>
      <c r="CF39" s="151"/>
      <c r="CG39" s="151"/>
      <c r="CH39" s="151"/>
      <c r="CI39" s="151"/>
      <c r="CJ39" s="151"/>
      <c r="CK39" s="151"/>
      <c r="CL39" s="151"/>
      <c r="CM39" s="151"/>
      <c r="CN39" s="151"/>
      <c r="CO39" s="151"/>
      <c r="CP39" s="151"/>
      <c r="CQ39" s="151"/>
      <c r="CR39" s="151"/>
      <c r="CS39" s="151"/>
      <c r="CT39" s="151"/>
      <c r="CU39" s="151"/>
      <c r="CV39" s="151"/>
      <c r="CW39" s="151"/>
      <c r="CX39" s="151"/>
      <c r="CY39" s="151"/>
      <c r="CZ39" s="151"/>
      <c r="DA39" s="151"/>
      <c r="DB39" s="75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</row>
    <row r="40" ht="27" customHeight="1" spans="1:181">
      <c r="A40" s="167" t="s">
        <v>88</v>
      </c>
      <c r="B40" s="44">
        <v>0</v>
      </c>
      <c r="C40" s="45">
        <f>SUM(B34:B40)</f>
        <v>0</v>
      </c>
      <c r="D40" s="62">
        <v>0</v>
      </c>
      <c r="E40" s="47">
        <f>SUM(D34:D40)</f>
        <v>0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 s="44"/>
      <c r="AI40" s="45"/>
      <c r="AJ40" s="44"/>
      <c r="AK40" s="93"/>
      <c r="AL40" s="93"/>
      <c r="AM40" s="93"/>
      <c r="AN40" s="93"/>
      <c r="AO40" s="93"/>
      <c r="AP40" s="93"/>
      <c r="AQ40" s="135"/>
      <c r="AR40" s="148"/>
      <c r="AS40" s="149"/>
      <c r="AT40" s="150"/>
      <c r="AU40" s="151"/>
      <c r="AV40" s="151"/>
      <c r="AW40" s="151"/>
      <c r="AX40" s="151"/>
      <c r="AY40" s="151"/>
      <c r="AZ40" s="151"/>
      <c r="BA40" s="151"/>
      <c r="BB40" s="151"/>
      <c r="BC40" s="151"/>
      <c r="BD40" s="151"/>
      <c r="BE40" s="151"/>
      <c r="BF40" s="151"/>
      <c r="BG40" s="151"/>
      <c r="BH40" s="151"/>
      <c r="BI40" s="151"/>
      <c r="BJ40" s="151"/>
      <c r="BK40" s="151"/>
      <c r="BL40" s="151"/>
      <c r="BM40" s="151"/>
      <c r="BN40" s="151"/>
      <c r="BO40" s="151"/>
      <c r="BP40" s="151"/>
      <c r="BQ40" s="151"/>
      <c r="BR40" s="151"/>
      <c r="BS40" s="151"/>
      <c r="BT40" s="151"/>
      <c r="BU40" s="151"/>
      <c r="BV40" s="151"/>
      <c r="BW40" s="151"/>
      <c r="BX40" s="151"/>
      <c r="BY40" s="151"/>
      <c r="BZ40" s="151"/>
      <c r="CA40" s="151"/>
      <c r="CB40" s="151"/>
      <c r="CC40" s="151"/>
      <c r="CD40" s="151"/>
      <c r="CE40" s="151"/>
      <c r="CF40" s="151"/>
      <c r="CG40" s="151"/>
      <c r="CH40" s="151"/>
      <c r="CI40" s="151"/>
      <c r="CJ40" s="151"/>
      <c r="CK40" s="151"/>
      <c r="CL40" s="151"/>
      <c r="CM40" s="151"/>
      <c r="CN40" s="151"/>
      <c r="CO40" s="151"/>
      <c r="CP40" s="151"/>
      <c r="CQ40" s="151"/>
      <c r="CR40" s="151"/>
      <c r="CS40" s="151"/>
      <c r="CT40" s="151"/>
      <c r="CU40" s="151"/>
      <c r="CV40" s="151"/>
      <c r="CW40" s="151"/>
      <c r="CX40" s="151"/>
      <c r="CY40" s="151"/>
      <c r="CZ40" s="151"/>
      <c r="DA40" s="151"/>
      <c r="DB40" s="75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</row>
    <row r="41" ht="27" customHeight="1" spans="1:181">
      <c r="A41" s="168" t="s">
        <v>89</v>
      </c>
      <c r="B41" s="50">
        <v>0</v>
      </c>
      <c r="C41" s="51">
        <f>SUM(B34:B41)</f>
        <v>0</v>
      </c>
      <c r="D41" s="52">
        <v>0</v>
      </c>
      <c r="E41" s="53">
        <f>SUM(D34:D41)</f>
        <v>0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 s="98"/>
      <c r="AI41" s="51"/>
      <c r="AJ41" s="99"/>
      <c r="AK41" s="100"/>
      <c r="AL41" s="100"/>
      <c r="AM41" s="100"/>
      <c r="AN41" s="100"/>
      <c r="AO41" s="100"/>
      <c r="AP41" s="100"/>
      <c r="AQ41" s="153"/>
      <c r="AR41" s="154"/>
      <c r="AS41" s="155"/>
      <c r="AT41" s="150"/>
      <c r="AU41" s="151"/>
      <c r="AV41" s="151"/>
      <c r="AW41" s="151"/>
      <c r="AX41" s="151"/>
      <c r="AY41" s="151"/>
      <c r="AZ41" s="151"/>
      <c r="BA41" s="151"/>
      <c r="BB41" s="151"/>
      <c r="BC41" s="151"/>
      <c r="BD41" s="151"/>
      <c r="BE41" s="151"/>
      <c r="BF41" s="151"/>
      <c r="BG41" s="151"/>
      <c r="BH41" s="151"/>
      <c r="BI41" s="151"/>
      <c r="BJ41" s="151"/>
      <c r="BK41" s="151"/>
      <c r="BL41" s="151"/>
      <c r="BM41" s="151"/>
      <c r="BN41" s="151"/>
      <c r="BO41" s="151"/>
      <c r="BP41" s="151"/>
      <c r="BQ41" s="151"/>
      <c r="BR41" s="151"/>
      <c r="BS41" s="151"/>
      <c r="BT41" s="151"/>
      <c r="BU41" s="151"/>
      <c r="BV41" s="151"/>
      <c r="BW41" s="151"/>
      <c r="BX41" s="151"/>
      <c r="BY41" s="151"/>
      <c r="BZ41" s="151"/>
      <c r="CA41" s="151"/>
      <c r="CB41" s="151"/>
      <c r="CC41" s="151"/>
      <c r="CD41" s="151"/>
      <c r="CE41" s="151"/>
      <c r="CF41" s="151"/>
      <c r="CG41" s="151"/>
      <c r="CH41" s="151"/>
      <c r="CI41" s="151"/>
      <c r="CJ41" s="151"/>
      <c r="CK41" s="151"/>
      <c r="CL41" s="151"/>
      <c r="CM41" s="151"/>
      <c r="CN41" s="151"/>
      <c r="CO41" s="151"/>
      <c r="CP41" s="151"/>
      <c r="CQ41" s="151"/>
      <c r="CR41" s="151"/>
      <c r="CS41" s="151"/>
      <c r="CT41" s="151"/>
      <c r="CU41" s="151"/>
      <c r="CV41" s="151"/>
      <c r="CW41" s="151"/>
      <c r="CX41" s="151"/>
      <c r="CY41" s="151"/>
      <c r="CZ41" s="151"/>
      <c r="DA41" s="151"/>
      <c r="DB41" s="75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</row>
    <row r="42" ht="24" customHeight="1" spans="1:106">
      <c r="A42" s="65" t="s">
        <v>90</v>
      </c>
      <c r="B42" s="57">
        <f>SUM(B34:B41)</f>
        <v>0</v>
      </c>
      <c r="C42" s="64"/>
      <c r="D42" s="55">
        <f>SUM(D34:D41)</f>
        <v>0</v>
      </c>
      <c r="E42" s="66"/>
      <c r="F42" s="59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94"/>
      <c r="AH42" s="101"/>
      <c r="AI42" s="102"/>
      <c r="AJ42" s="97">
        <f t="shared" ref="AJ42:AR42" si="2">SUM(AJ34:AJ41)</f>
        <v>0</v>
      </c>
      <c r="AK42" s="97">
        <f t="shared" si="2"/>
        <v>0</v>
      </c>
      <c r="AL42" s="97">
        <f t="shared" si="2"/>
        <v>0</v>
      </c>
      <c r="AM42" s="97">
        <f t="shared" si="2"/>
        <v>0</v>
      </c>
      <c r="AN42" s="97">
        <f t="shared" si="2"/>
        <v>0</v>
      </c>
      <c r="AO42" s="97">
        <f t="shared" si="2"/>
        <v>0</v>
      </c>
      <c r="AP42" s="97">
        <f t="shared" si="2"/>
        <v>0</v>
      </c>
      <c r="AQ42" s="97">
        <f t="shared" si="2"/>
        <v>0</v>
      </c>
      <c r="AR42" s="97">
        <f t="shared" si="2"/>
        <v>0</v>
      </c>
      <c r="AS42" s="156" t="s">
        <v>72</v>
      </c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75"/>
      <c r="BL42" s="75"/>
      <c r="BM42" s="75"/>
      <c r="BN42" s="75"/>
      <c r="BO42" s="75"/>
      <c r="BP42" s="75"/>
      <c r="BQ42" s="75"/>
      <c r="BR42" s="75"/>
      <c r="BS42" s="75"/>
      <c r="BT42" s="75"/>
      <c r="BU42" s="75"/>
      <c r="BV42" s="75"/>
      <c r="BW42" s="75"/>
      <c r="BX42" s="75"/>
      <c r="BY42" s="75"/>
      <c r="BZ42" s="75"/>
      <c r="CA42" s="75"/>
      <c r="CB42" s="75"/>
      <c r="CC42" s="75"/>
      <c r="CD42" s="75"/>
      <c r="CE42" s="75"/>
      <c r="CF42" s="75"/>
      <c r="CG42" s="75"/>
      <c r="CH42" s="75"/>
      <c r="CI42" s="75"/>
      <c r="CJ42" s="75"/>
      <c r="CK42" s="75"/>
      <c r="CL42" s="75"/>
      <c r="CM42" s="75"/>
      <c r="CN42" s="75"/>
      <c r="CO42" s="75"/>
      <c r="CP42" s="75"/>
      <c r="CQ42" s="75"/>
      <c r="CR42" s="75"/>
      <c r="CS42" s="75"/>
      <c r="CT42" s="75"/>
      <c r="CU42" s="75"/>
      <c r="CV42" s="75"/>
      <c r="CW42" s="75"/>
      <c r="CX42" s="75"/>
      <c r="CY42" s="75"/>
      <c r="CZ42" s="75"/>
      <c r="DA42" s="75"/>
      <c r="DB42" s="75"/>
    </row>
    <row r="43" ht="19" customHeight="1" spans="1:45">
      <c r="A43" s="67" t="s">
        <v>91</v>
      </c>
      <c r="B43" s="68"/>
      <c r="C43" s="69">
        <f>SUM(B24,B33,B42)</f>
        <v>0</v>
      </c>
      <c r="D43" s="70"/>
      <c r="E43" s="71">
        <f>SUM(D24,D33,D42)</f>
        <v>0</v>
      </c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103"/>
      <c r="AH43" s="104"/>
      <c r="AI43" s="105"/>
      <c r="AJ43" s="106"/>
      <c r="AK43" s="104"/>
      <c r="AL43" s="104"/>
      <c r="AM43" s="107"/>
      <c r="AN43" s="107"/>
      <c r="AO43" s="107"/>
      <c r="AP43" s="107"/>
      <c r="AQ43" s="107"/>
      <c r="AR43" s="157"/>
      <c r="AS43" s="158"/>
    </row>
    <row r="44" ht="28.5" customHeight="1" spans="1:45">
      <c r="A44" s="73" t="s">
        <v>92</v>
      </c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108"/>
      <c r="AH44" s="109" t="s">
        <v>93</v>
      </c>
      <c r="AI44" s="110"/>
      <c r="AJ44" s="111"/>
      <c r="AK44" s="111"/>
      <c r="AL44" s="112" t="s">
        <v>94</v>
      </c>
      <c r="AM44" s="113"/>
      <c r="AN44" s="114"/>
      <c r="AO44" s="159"/>
      <c r="AP44" s="112" t="s">
        <v>95</v>
      </c>
      <c r="AQ44" s="113"/>
      <c r="AR44" s="160"/>
      <c r="AS44" s="161"/>
    </row>
    <row r="45" spans="43:106"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75"/>
      <c r="BL45" s="75"/>
      <c r="BM45" s="75"/>
      <c r="BN45" s="75"/>
      <c r="BO45" s="75"/>
      <c r="BP45" s="75"/>
      <c r="BQ45" s="75"/>
      <c r="BR45" s="75"/>
      <c r="BS45" s="75"/>
      <c r="BT45" s="75"/>
      <c r="BU45" s="75"/>
      <c r="BV45" s="75"/>
      <c r="BW45" s="75"/>
      <c r="BX45" s="75"/>
      <c r="BY45" s="75"/>
      <c r="BZ45" s="75"/>
      <c r="CA45" s="75"/>
      <c r="CB45" s="75"/>
      <c r="CC45" s="75"/>
      <c r="CD45" s="75"/>
      <c r="CE45" s="75"/>
      <c r="CF45" s="75"/>
      <c r="CG45" s="75"/>
      <c r="CH45" s="75"/>
      <c r="CI45" s="75"/>
      <c r="CJ45" s="75"/>
      <c r="CK45" s="75"/>
      <c r="CL45" s="75"/>
      <c r="CM45" s="75"/>
      <c r="CN45" s="75"/>
      <c r="CO45" s="75"/>
      <c r="CP45" s="75"/>
      <c r="CQ45" s="75"/>
      <c r="CR45" s="75"/>
      <c r="CS45" s="75"/>
      <c r="CT45" s="75"/>
      <c r="CU45" s="75"/>
      <c r="CV45" s="75"/>
      <c r="CW45" s="75"/>
      <c r="CX45" s="75"/>
      <c r="CY45" s="75"/>
      <c r="CZ45" s="75"/>
      <c r="DA45" s="75"/>
      <c r="DB45" s="75"/>
    </row>
  </sheetData>
  <mergeCells count="34">
    <mergeCell ref="AT3:AV3"/>
    <mergeCell ref="AW3:AY3"/>
    <mergeCell ref="AZ3:BB3"/>
    <mergeCell ref="AH11:AJ11"/>
    <mergeCell ref="AK11:AM11"/>
    <mergeCell ref="AN11:AO11"/>
    <mergeCell ref="AP11:AS11"/>
    <mergeCell ref="B14:C14"/>
    <mergeCell ref="D14:E14"/>
    <mergeCell ref="F14:AG14"/>
    <mergeCell ref="AH14:AI14"/>
    <mergeCell ref="AJ14:AR14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5:AG15"/>
    <mergeCell ref="A43:B43"/>
    <mergeCell ref="A44:AG44"/>
    <mergeCell ref="AH44:AI44"/>
    <mergeCell ref="AJ44:AK44"/>
    <mergeCell ref="AL44:AN44"/>
    <mergeCell ref="AP44:AQ44"/>
    <mergeCell ref="AR44:AS44"/>
    <mergeCell ref="AS14:AS15"/>
  </mergeCells>
  <printOptions horizontalCentered="1" verticalCentered="1"/>
  <pageMargins left="0.25" right="0.25" top="0" bottom="0" header="0" footer="0"/>
  <pageSetup paperSize="9" scale="86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Pioneer CT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HourlyCount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karthikg</dc:creator>
  <cp:lastModifiedBy>Admin</cp:lastModifiedBy>
  <dcterms:created xsi:type="dcterms:W3CDTF">2009-02-06T04:35:00Z</dcterms:created>
  <cp:lastPrinted>2010-01-20T08:39:00Z</cp:lastPrinted>
  <dcterms:modified xsi:type="dcterms:W3CDTF">2019-05-22T12:42:53Z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